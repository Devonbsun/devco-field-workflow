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e" sheetId="1" state="visible" r:id="rId3"/>
    <sheet name="Drive link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<sst xmlns="http://schemas.openxmlformats.org/spreadsheetml/2006/main" count="1084" uniqueCount="347">
  <si>
    <t xml:space="preserve">Des Moines 59-pole transfer route</t>
  </si>
  <si>
    <t xml:space="preserve">Work order 07400073460212 — Des Moines IA Pole Transfers</t>
  </si>
  <si>
    <t xml:space="preserve">Poles</t>
  </si>
  <si>
    <t xml:space="preserve">7 Google Maps parts, using work-order coordinates</t>
  </si>
  <si>
    <t xml:space="preserve">Notes: column C. Billing codes: D. Photos: E. Tap a pole address to navigate by GPS.</t>
  </si>
  <si>
    <t xml:space="preserve">Stop</t>
  </si>
  <si>
    <t xml:space="preserve">Pole address / GPS</t>
  </si>
  <si>
    <t xml:space="preserve">Notes</t>
  </si>
  <si>
    <t xml:space="preserve">Billing codes</t>
  </si>
  <si>
    <t xml:space="preserve">Photos / documents</t>
  </si>
  <si>
    <t xml:space="preserve">Work status</t>
  </si>
  <si>
    <t xml:space="preserve">Pole FID</t>
  </si>
  <si>
    <t xml:space="preserve">JU Record</t>
  </si>
  <si>
    <t xml:space="preserve">Part</t>
  </si>
  <si>
    <t xml:space="preserve">GPS nav</t>
  </si>
  <si>
    <t xml:space="preserve">Work order</t>
  </si>
  <si>
    <t xml:space="preserve">Licensee Name</t>
  </si>
  <si>
    <t xml:space="preserve">Licensee Application Name</t>
  </si>
  <si>
    <t xml:space="preserve">Application Description</t>
  </si>
  <si>
    <t xml:space="preserve">Permit status</t>
  </si>
  <si>
    <t xml:space="preserve">Status Date</t>
  </si>
  <si>
    <t xml:space="preserve">JU Type</t>
  </si>
  <si>
    <t xml:space="preserve">JU Subtype</t>
  </si>
  <si>
    <t xml:space="preserve">Create Date</t>
  </si>
  <si>
    <t xml:space="preserve">Field11</t>
  </si>
  <si>
    <t xml:space="preserve">City</t>
  </si>
  <si>
    <t xml:space="preserve">State</t>
  </si>
  <si>
    <t xml:space="preserve">Service Area</t>
  </si>
  <si>
    <t xml:space="preserve">Source address</t>
  </si>
  <si>
    <t xml:space="preserve">Latitude</t>
  </si>
  <si>
    <t xml:space="preserve">Longitude</t>
  </si>
  <si>
    <t xml:space="preserve">Area</t>
  </si>
  <si>
    <t xml:space="preserve">Source row</t>
  </si>
  <si>
    <t xml:space="preserve">Column1</t>
  </si>
  <si>
    <t xml:space="preserve">Source file</t>
  </si>
  <si>
    <t xml:space="preserve">Source sheet</t>
  </si>
  <si>
    <t xml:space="preserve">Open</t>
  </si>
  <si>
    <t xml:space="preserve">22826119</t>
  </si>
  <si>
    <t xml:space="preserve">2416126</t>
  </si>
  <si>
    <t xml:space="preserve">07400073460212</t>
  </si>
  <si>
    <t xml:space="preserve">WINDSTREAM</t>
  </si>
  <si>
    <t xml:space="preserve">POLE TRANSFER</t>
  </si>
  <si>
    <t xml:space="preserve">Pole Transfer Request  41.6803701500 -93.6248830400</t>
  </si>
  <si>
    <t xml:space="preserve">APPROVED</t>
  </si>
  <si>
    <t xml:space="preserve">NEWPERMIT</t>
  </si>
  <si>
    <t xml:space="preserve">DES MOINES</t>
  </si>
  <si>
    <t xml:space="preserve">IA</t>
  </si>
  <si>
    <t xml:space="preserve">DM</t>
  </si>
  <si>
    <t xml:space="preserve">396 NW 65 LN, POLK COUNTY, IA</t>
  </si>
  <si>
    <t xml:space="preserve">North Polk County</t>
  </si>
  <si>
    <t xml:space="preserve">07400073460212 ~Des Moines IA Pole Transfers.xlsx</t>
  </si>
  <si>
    <t xml:space="preserve">Sheet1</t>
  </si>
  <si>
    <t xml:space="preserve">22822220</t>
  </si>
  <si>
    <t xml:space="preserve">2415266</t>
  </si>
  <si>
    <t xml:space="preserve">Pole Transfer Request  41.6404532700 -93.5245397400</t>
  </si>
  <si>
    <t xml:space="preserve">CLEC</t>
  </si>
  <si>
    <t xml:space="preserve">ACROSS FROM 4516 HUBBELL AVE, DES MOINES, IA</t>
  </si>
  <si>
    <t xml:space="preserve">Hubbell Avenue</t>
  </si>
  <si>
    <t xml:space="preserve">21793503</t>
  </si>
  <si>
    <t xml:space="preserve">2215093</t>
  </si>
  <si>
    <t xml:space="preserve">Pole Transfer Request  41.6390111100 -93.5222054400</t>
  </si>
  <si>
    <t xml:space="preserve">4401 E 46 ST, DES MOINES, IA</t>
  </si>
  <si>
    <t xml:space="preserve">East 46th Street</t>
  </si>
  <si>
    <t xml:space="preserve">22444350</t>
  </si>
  <si>
    <t xml:space="preserve">2594045</t>
  </si>
  <si>
    <t xml:space="preserve">Pole Transfer Request  41.6304331900 -93.5224298700</t>
  </si>
  <si>
    <t xml:space="preserve">3850 NE 46 ST, POLK COUNTY, IA</t>
  </si>
  <si>
    <t xml:space="preserve">22981406</t>
  </si>
  <si>
    <t xml:space="preserve">2516149</t>
  </si>
  <si>
    <t xml:space="preserve">Pole Transfer Request  41.6007176300 -93.5367545000</t>
  </si>
  <si>
    <t xml:space="preserve">4034 E UNIVERSITY AVE, DES MOINES, IA</t>
  </si>
  <si>
    <t xml:space="preserve">East University</t>
  </si>
  <si>
    <t xml:space="preserve">22754073</t>
  </si>
  <si>
    <t xml:space="preserve">2549851</t>
  </si>
  <si>
    <t xml:space="preserve">Pole Transfer Request  41.5983694300 -93.5675048700</t>
  </si>
  <si>
    <t xml:space="preserve">ACROSS FROM 2609 MAPLE ST, DES MOINES, IA</t>
  </si>
  <si>
    <t xml:space="preserve">Maple Street</t>
  </si>
  <si>
    <t xml:space="preserve">22480587</t>
  </si>
  <si>
    <t xml:space="preserve">2183813</t>
  </si>
  <si>
    <t xml:space="preserve">Pole Transfer Request  41.5982547800 -93.5747696800</t>
  </si>
  <si>
    <t xml:space="preserve">ACROSS FROM 2303  MAPLE ST, DES MOINES, IA</t>
  </si>
  <si>
    <t xml:space="preserve">22989832</t>
  </si>
  <si>
    <t xml:space="preserve">2521532</t>
  </si>
  <si>
    <t xml:space="preserve">Pole Transfer Request  41.5982380800 -93.5816172800</t>
  </si>
  <si>
    <t xml:space="preserve">2014 MAPLE ST, DES MOINES, IA</t>
  </si>
  <si>
    <t xml:space="preserve">22448148</t>
  </si>
  <si>
    <t xml:space="preserve">2231640</t>
  </si>
  <si>
    <t xml:space="preserve">Pole Transfer Request  41.6139194100 -93.5811985700</t>
  </si>
  <si>
    <t xml:space="preserve">Delaware Avenue</t>
  </si>
  <si>
    <t xml:space="preserve">22772057</t>
  </si>
  <si>
    <t xml:space="preserve">2283323</t>
  </si>
  <si>
    <t xml:space="preserve">Pole Transfer Request  41.6179137900 -93.5812240600</t>
  </si>
  <si>
    <t xml:space="preserve">IN FRONT OF 2425 DELAWARE AVE, DES MOINES, IA</t>
  </si>
  <si>
    <t xml:space="preserve">22316597</t>
  </si>
  <si>
    <t xml:space="preserve">1964684</t>
  </si>
  <si>
    <t xml:space="preserve">Pole Transfer Request  41.6200715300 -93.5812225800</t>
  </si>
  <si>
    <t xml:space="preserve">2701  DELAWARE AVE,
     DES MOINES,
     IA</t>
  </si>
  <si>
    <t xml:space="preserve">22411650</t>
  </si>
  <si>
    <t xml:space="preserve">2232441</t>
  </si>
  <si>
    <t xml:space="preserve">Pole Transfer Request  41.6240035700 -93.5812338300</t>
  </si>
  <si>
    <t xml:space="preserve">3123  DELAWARE AVE, DES MOINES, IA</t>
  </si>
  <si>
    <t xml:space="preserve">23059132</t>
  </si>
  <si>
    <t xml:space="preserve">2579221</t>
  </si>
  <si>
    <t xml:space="preserve">Pole Transfer Request  41.6277774700 -93.6045201600</t>
  </si>
  <si>
    <t xml:space="preserve">1200 E Euclid Ave, Des Moines, IA, 50316</t>
  </si>
  <si>
    <t xml:space="preserve">East Euclid</t>
  </si>
  <si>
    <t xml:space="preserve">22180513</t>
  </si>
  <si>
    <t xml:space="preserve">2122839</t>
  </si>
  <si>
    <t xml:space="preserve">Pole Transfer Request  41.6277795600 -93.6047002200</t>
  </si>
  <si>
    <t xml:space="preserve">22180462</t>
  </si>
  <si>
    <t xml:space="preserve">2122834</t>
  </si>
  <si>
    <t xml:space="preserve">Pole Transfer Request  41.6277774400 -93.6053875000</t>
  </si>
  <si>
    <t xml:space="preserve">914 E EUCLID AVE, DES MOINES, IA</t>
  </si>
  <si>
    <t xml:space="preserve">22333089</t>
  </si>
  <si>
    <t xml:space="preserve">1963462</t>
  </si>
  <si>
    <t xml:space="preserve">Pole Transfer Request  41.6277881500 -93.6072981800</t>
  </si>
  <si>
    <t xml:space="preserve">816 E EUCLID AVE, DES MOINES, IA</t>
  </si>
  <si>
    <t xml:space="preserve">22241807</t>
  </si>
  <si>
    <t xml:space="preserve">2183857</t>
  </si>
  <si>
    <t xml:space="preserve">Pole Transfer Request  41.6276057300 -93.6204926600</t>
  </si>
  <si>
    <t xml:space="preserve">IN FRONT OF 210 EUCLID AVE, DES MOINES, IA</t>
  </si>
  <si>
    <t xml:space="preserve">Euclid Avenue</t>
  </si>
  <si>
    <t xml:space="preserve">22241691</t>
  </si>
  <si>
    <t xml:space="preserve">2183705</t>
  </si>
  <si>
    <t xml:space="preserve">Pole Transfer Request  41.6276102000 -93.6208609900</t>
  </si>
  <si>
    <t xml:space="preserve">222  EUCLID AVE, DES MOINES, IA</t>
  </si>
  <si>
    <t xml:space="preserve">22241683</t>
  </si>
  <si>
    <t xml:space="preserve">2183603</t>
  </si>
  <si>
    <t xml:space="preserve">Pole Transfer Request  41.6276035100 -93.6223865200</t>
  </si>
  <si>
    <t xml:space="preserve">400 EUCLID AVE, DES MOINES, IA</t>
  </si>
  <si>
    <t xml:space="preserve">22241657</t>
  </si>
  <si>
    <t xml:space="preserve">2183724</t>
  </si>
  <si>
    <t xml:space="preserve">Pole Transfer Request  41.6276026300 -93.6232144400</t>
  </si>
  <si>
    <t xml:space="preserve">412 EUCLID AV, DES MOINES, IA</t>
  </si>
  <si>
    <t xml:space="preserve">22241627</t>
  </si>
  <si>
    <t xml:space="preserve">2183770</t>
  </si>
  <si>
    <t xml:space="preserve">Pole Transfer Request  41.6275942800 -93.6240962700</t>
  </si>
  <si>
    <t xml:space="preserve">515 EUCLID AVE, DES MOINES, IA</t>
  </si>
  <si>
    <t xml:space="preserve">19125337</t>
  </si>
  <si>
    <t xml:space="preserve">1981253</t>
  </si>
  <si>
    <t xml:space="preserve">Pole Transfer Request  41.6275974900 -93.6264145000</t>
  </si>
  <si>
    <t xml:space="preserve">702 EUCLID AVE, DES MOINES, IA</t>
  </si>
  <si>
    <t xml:space="preserve">22417124</t>
  </si>
  <si>
    <t xml:space="preserve">2233288</t>
  </si>
  <si>
    <t xml:space="preserve">Pole Transfer Request  41.6292040100 -93.6561822000</t>
  </si>
  <si>
    <t xml:space="preserve">2831  DOUGLAS AVE, DES MOINES, IA</t>
  </si>
  <si>
    <t xml:space="preserve">Douglas Avenue</t>
  </si>
  <si>
    <t xml:space="preserve">22417159</t>
  </si>
  <si>
    <t xml:space="preserve">2233040</t>
  </si>
  <si>
    <t xml:space="preserve">Pole Transfer Request  41.6293046500 -93.6565336200</t>
  </si>
  <si>
    <t xml:space="preserve">22432166</t>
  </si>
  <si>
    <t xml:space="preserve">2434151</t>
  </si>
  <si>
    <t xml:space="preserve">Pole Transfer Request  41.6408569500 -93.6689065700</t>
  </si>
  <si>
    <t xml:space="preserve">3800 LINDLAVISTA WAY DES MOINES, IA</t>
  </si>
  <si>
    <t xml:space="preserve">Lindlavista</t>
  </si>
  <si>
    <t xml:space="preserve">21983164</t>
  </si>
  <si>
    <t xml:space="preserve">2232788</t>
  </si>
  <si>
    <t xml:space="preserve">Pole Transfer Request  41.6293910000 -93.6850066500</t>
  </si>
  <si>
    <t xml:space="preserve">IN FRONT OF 4800 DOUGLAS AVE, DES MOINES, IA</t>
  </si>
  <si>
    <t xml:space="preserve">22076463</t>
  </si>
  <si>
    <t xml:space="preserve">2233483</t>
  </si>
  <si>
    <t xml:space="preserve">Pole Transfer Request  41.6004488500 -93.6814518900</t>
  </si>
  <si>
    <t xml:space="preserve">4701 UNIVERSITY AVE, DES MOINES, IA</t>
  </si>
  <si>
    <t xml:space="preserve">West University</t>
  </si>
  <si>
    <t xml:space="preserve">21636563</t>
  </si>
  <si>
    <t xml:space="preserve">2231571</t>
  </si>
  <si>
    <t xml:space="preserve">Pole Transfer Request  41.6004373400 -93.6738920200</t>
  </si>
  <si>
    <t xml:space="preserve">4123 UNIVERSITY AVE, DES MOINES, IA</t>
  </si>
  <si>
    <t xml:space="preserve">21636603</t>
  </si>
  <si>
    <t xml:space="preserve">2233522</t>
  </si>
  <si>
    <t xml:space="preserve">Pole Transfer Request  41.6004252900 -93.6732772900</t>
  </si>
  <si>
    <t xml:space="preserve">1 SPAN W OF NW CORNER OF 41 ST &amp; UNIVERSITY AVE, DES MOINES</t>
  </si>
  <si>
    <t xml:space="preserve">22645252</t>
  </si>
  <si>
    <t xml:space="preserve">2508009</t>
  </si>
  <si>
    <t xml:space="preserve">Pole Transfer Request  41.6004186600 -93.6730167700</t>
  </si>
  <si>
    <t xml:space="preserve">4027  UNIVERSITY AVE, DES MOINES, IA</t>
  </si>
  <si>
    <t xml:space="preserve">21637640</t>
  </si>
  <si>
    <t xml:space="preserve">2232928</t>
  </si>
  <si>
    <t xml:space="preserve">Pole Transfer Request  41.6004239400 -93.6700773100</t>
  </si>
  <si>
    <t xml:space="preserve">3909 UNIVERSITY AVE, DES MOINES, IA</t>
  </si>
  <si>
    <t xml:space="preserve">22230869</t>
  </si>
  <si>
    <t xml:space="preserve">2423607</t>
  </si>
  <si>
    <t xml:space="preserve">Pole Transfer Request  41.5919372200 -93.6407869300</t>
  </si>
  <si>
    <t xml:space="preserve">Central west</t>
  </si>
  <si>
    <t xml:space="preserve">22240081</t>
  </si>
  <si>
    <t xml:space="preserve">2283354</t>
  </si>
  <si>
    <t xml:space="preserve">Pole Transfer Request  41.5898143700 -93.6383848400</t>
  </si>
  <si>
    <t xml:space="preserve">1508  PLEASANT ST, DES MOINES, IA</t>
  </si>
  <si>
    <t xml:space="preserve">Pleasant Street</t>
  </si>
  <si>
    <t xml:space="preserve">22408685</t>
  </si>
  <si>
    <t xml:space="preserve">2233536</t>
  </si>
  <si>
    <t xml:space="preserve">Pole Transfer Request  41.6004949400 -93.6343152500</t>
  </si>
  <si>
    <t xml:space="preserve">1213 13 ST DES MOINES, IA</t>
  </si>
  <si>
    <t xml:space="preserve">13th Street</t>
  </si>
  <si>
    <t xml:space="preserve">22356436</t>
  </si>
  <si>
    <t xml:space="preserve">1978027</t>
  </si>
  <si>
    <t xml:space="preserve">Pole Transfer Request  41.6012045900 -93.6342686600</t>
  </si>
  <si>
    <t xml:space="preserve">1222 13 ST DES MOINES</t>
  </si>
  <si>
    <t xml:space="preserve">886883</t>
  </si>
  <si>
    <t xml:space="preserve">2482316</t>
  </si>
  <si>
    <t xml:space="preserve">Pole Transfer Request  41.6077241900 -93.6251420300</t>
  </si>
  <si>
    <t xml:space="preserve">515 COLLEGE AV DES MOINES</t>
  </si>
  <si>
    <t xml:space="preserve">College Avenue</t>
  </si>
  <si>
    <t xml:space="preserve">21652016</t>
  </si>
  <si>
    <t xml:space="preserve">2215095</t>
  </si>
  <si>
    <t xml:space="preserve">Pole Transfer Request  41.6035883900 -93.6185645800</t>
  </si>
  <si>
    <t xml:space="preserve">123 FOREST AVE, DES MOINES, IA</t>
  </si>
  <si>
    <t xml:space="preserve">Forest Avenue</t>
  </si>
  <si>
    <t xml:space="preserve">22611502</t>
  </si>
  <si>
    <t xml:space="preserve">2143706</t>
  </si>
  <si>
    <t xml:space="preserve">Pole Transfer Request  41.6001873600 -93.6210141500</t>
  </si>
  <si>
    <t xml:space="preserve">IN FRONT OF 212 UNIVERSITY AVE,DES MOINES, IA</t>
  </si>
  <si>
    <t xml:space="preserve">Central University</t>
  </si>
  <si>
    <t xml:space="preserve">22507933</t>
  </si>
  <si>
    <t xml:space="preserve">2614123</t>
  </si>
  <si>
    <t xml:space="preserve">Pole Transfer Request  41.5554303300 -93.6104454300</t>
  </si>
  <si>
    <t xml:space="preserve">320 E PARK AVE, DES MOINES, IA</t>
  </si>
  <si>
    <t xml:space="preserve">East Park Avenue</t>
  </si>
  <si>
    <t xml:space="preserve">22508621</t>
  </si>
  <si>
    <t xml:space="preserve">2614145</t>
  </si>
  <si>
    <t xml:space="preserve">Pole Transfer Request  41.5554325500 -93.6109665200</t>
  </si>
  <si>
    <t xml:space="preserve">308  E PARK AVE, DES MOINES, IA</t>
  </si>
  <si>
    <t xml:space="preserve">22507858</t>
  </si>
  <si>
    <t xml:space="preserve">2614095</t>
  </si>
  <si>
    <t xml:space="preserve">Pole Transfer Request  41.5554366700 -93.6119573100</t>
  </si>
  <si>
    <t xml:space="preserve">216 E PARK AVE, DES MOINES, IA</t>
  </si>
  <si>
    <t xml:space="preserve">22164687</t>
  </si>
  <si>
    <t xml:space="preserve">2232107</t>
  </si>
  <si>
    <t xml:space="preserve">Pole Transfer Request  41.5554530400 -93.6151939100</t>
  </si>
  <si>
    <t xml:space="preserve">18  E PARK AVE, DES MOINES, IA</t>
  </si>
  <si>
    <t xml:space="preserve">22164790</t>
  </si>
  <si>
    <t xml:space="preserve">2231743</t>
  </si>
  <si>
    <t xml:space="preserve">Pole Transfer Request  41.5554571700 -93.6156776700</t>
  </si>
  <si>
    <t xml:space="preserve">10  E PARK AVE, DES MOINES, IA</t>
  </si>
  <si>
    <t xml:space="preserve">22397812</t>
  </si>
  <si>
    <t xml:space="preserve">2233446</t>
  </si>
  <si>
    <t xml:space="preserve">Pole Transfer Request  41.5523137400 -93.6258201200</t>
  </si>
  <si>
    <t xml:space="preserve">3516 SW 9 ST DES MOINES</t>
  </si>
  <si>
    <t xml:space="preserve">Southwest 9th</t>
  </si>
  <si>
    <t xml:space="preserve">22628816</t>
  </si>
  <si>
    <t xml:space="preserve">2456689</t>
  </si>
  <si>
    <t xml:space="preserve">Pole Transfer Request  41.5554031100 -93.6289031300</t>
  </si>
  <si>
    <t xml:space="preserve">1102 PARK AVE, DES MOINES, IA</t>
  </si>
  <si>
    <t xml:space="preserve">Park Avenue</t>
  </si>
  <si>
    <t xml:space="preserve">22172183</t>
  </si>
  <si>
    <t xml:space="preserve">2473046</t>
  </si>
  <si>
    <t xml:space="preserve">Pole Transfer Request  41.5555248000 -93.6548361300</t>
  </si>
  <si>
    <t xml:space="preserve">2801 PARK AVE, DES MOINES, IA</t>
  </si>
  <si>
    <t xml:space="preserve">22172169</t>
  </si>
  <si>
    <t xml:space="preserve">2473040</t>
  </si>
  <si>
    <t xml:space="preserve">Pole Transfer Request  41.5555309600 -93.6556491800</t>
  </si>
  <si>
    <t xml:space="preserve">2832  PARK AVE, DES MOINES, IA</t>
  </si>
  <si>
    <t xml:space="preserve">21144081</t>
  </si>
  <si>
    <t xml:space="preserve">2516139</t>
  </si>
  <si>
    <t xml:space="preserve">Pole Transfer Request  41.5471234900 -93.6451456700</t>
  </si>
  <si>
    <t xml:space="preserve">4024 FLEUR DR, DES MOINES, IA</t>
  </si>
  <si>
    <t xml:space="preserve">Fleur Drive</t>
  </si>
  <si>
    <t xml:space="preserve">21144014</t>
  </si>
  <si>
    <t xml:space="preserve">2516152</t>
  </si>
  <si>
    <t xml:space="preserve">Pole Transfer Request  41.5463676700 -93.6451483600</t>
  </si>
  <si>
    <t xml:space="preserve">4108 FLEUR DR, DES MOINES, IA</t>
  </si>
  <si>
    <t xml:space="preserve">21143918</t>
  </si>
  <si>
    <t xml:space="preserve">2516159</t>
  </si>
  <si>
    <t xml:space="preserve">Pole Transfer Request  41.5459374600 -93.6451509600</t>
  </si>
  <si>
    <t xml:space="preserve">4138 FLEUR DR, DES MOINES, IA</t>
  </si>
  <si>
    <t xml:space="preserve">21143892</t>
  </si>
  <si>
    <t xml:space="preserve">2516145</t>
  </si>
  <si>
    <t xml:space="preserve">Pole Transfer Request  41.5454852400 -93.6451548900</t>
  </si>
  <si>
    <t xml:space="preserve">4200 FLEUR DR, DES MOINES, IA</t>
  </si>
  <si>
    <t xml:space="preserve">21143410</t>
  </si>
  <si>
    <t xml:space="preserve">2516164</t>
  </si>
  <si>
    <t xml:space="preserve">Pole Transfer Request  41.5431162700 -93.6451691800</t>
  </si>
  <si>
    <t xml:space="preserve">4560 FLEUR DR, DES MOINES, IA</t>
  </si>
  <si>
    <t xml:space="preserve">21143377</t>
  </si>
  <si>
    <t xml:space="preserve">2516156</t>
  </si>
  <si>
    <t xml:space="preserve">Pole Transfer Request  41.5427364600 -93.6451654100</t>
  </si>
  <si>
    <t xml:space="preserve">4580 FLEUR DR, DES MOINES, IA</t>
  </si>
  <si>
    <t xml:space="preserve">22126108</t>
  </si>
  <si>
    <t xml:space="preserve">2215100</t>
  </si>
  <si>
    <t xml:space="preserve">Pole Transfer Request  41.5184751600 -93.6451078400</t>
  </si>
  <si>
    <t xml:space="preserve">7300  FLEUR DR, DES MOINES, IA</t>
  </si>
  <si>
    <t xml:space="preserve">South Fleur</t>
  </si>
  <si>
    <t xml:space="preserve">22260139</t>
  </si>
  <si>
    <t xml:space="preserve">2278057</t>
  </si>
  <si>
    <t xml:space="preserve">Pole Transfer Request  41.5123679200 -93.6447827000</t>
  </si>
  <si>
    <t xml:space="preserve">1 POLE N OF NE CORNER INTERSECTION OF FLEUR DR &amp; ECHO VALLEY DR, DES MOINES, IA</t>
  </si>
  <si>
    <t xml:space="preserve">22229451</t>
  </si>
  <si>
    <t xml:space="preserve">2278028</t>
  </si>
  <si>
    <t xml:space="preserve">Pole Transfer Request  41.5122002400 -93.6447800900</t>
  </si>
  <si>
    <t xml:space="preserve">NE CORNER INTERSECTION OF FLEUR DR &amp; ECHO VALLEY DR, DES MOINES, IA</t>
  </si>
  <si>
    <t xml:space="preserve">21781877</t>
  </si>
  <si>
    <t xml:space="preserve">2526119</t>
  </si>
  <si>
    <t xml:space="preserve">Pole Transfer Request  41.5261453700 -93.5915540300</t>
  </si>
  <si>
    <t xml:space="preserve">1640 E ARMY POST RD, DES MOINES, IA</t>
  </si>
  <si>
    <t xml:space="preserve">East Army Post</t>
  </si>
  <si>
    <t xml:space="preserve">22285940</t>
  </si>
  <si>
    <t xml:space="preserve">2143897</t>
  </si>
  <si>
    <t xml:space="preserve">Pole Transfer Request  41.4744786400 -93.5422118600</t>
  </si>
  <si>
    <t xml:space="preserve">Southeast outlier</t>
  </si>
  <si>
    <t xml:space="preserve">22352252</t>
  </si>
  <si>
    <t xml:space="preserve">2608837</t>
  </si>
  <si>
    <t xml:space="preserve">Pole Transfer Request  41.4761570200 -93.5216146000</t>
  </si>
  <si>
    <t xml:space="preserve">14941  SCOTCH-RIDGE RD, WARREN COUNTY, IA</t>
  </si>
  <si>
    <t xml:space="preserve">Open the route in Google Maps</t>
  </si>
  <si>
    <t xml:space="preserve">Open Parts 1–7 in the Google Maps app. Each part starts from your current location.</t>
  </si>
  <si>
    <t xml:space="preserve">All stops use pole coordinates. Finish each part, then open the next part in order.</t>
  </si>
  <si>
    <t xml:space="preserve">Stops</t>
  </si>
  <si>
    <t xml:space="preserve">First GPS pin</t>
  </si>
  <si>
    <t xml:space="preserve">Last GPS pin</t>
  </si>
  <si>
    <t xml:space="preserve">Google Maps</t>
  </si>
  <si>
    <t xml:space="preserve">1–9</t>
  </si>
  <si>
    <t xml:space="preserve">41.6803701500,-93.6248830400</t>
  </si>
  <si>
    <t xml:space="preserve">41.6139194100,-93.5811985700</t>
  </si>
  <si>
    <t xml:space="preserve">Open route</t>
  </si>
  <si>
    <t xml:space="preserve">10–18</t>
  </si>
  <si>
    <t xml:space="preserve">41.6179137900,-93.5812240600</t>
  </si>
  <si>
    <t xml:space="preserve">41.6276102000,-93.6208609900</t>
  </si>
  <si>
    <t xml:space="preserve">19–27</t>
  </si>
  <si>
    <t xml:space="preserve">41.6276035100,-93.6223865200</t>
  </si>
  <si>
    <t xml:space="preserve">41.6004488500,-93.6814518900</t>
  </si>
  <si>
    <t xml:space="preserve">28–36</t>
  </si>
  <si>
    <t xml:space="preserve">41.6004373400,-93.6738920200</t>
  </si>
  <si>
    <t xml:space="preserve">41.6077241900,-93.6251420300</t>
  </si>
  <si>
    <t xml:space="preserve">37–45</t>
  </si>
  <si>
    <t xml:space="preserve">41.6035883900,-93.6185645800</t>
  </si>
  <si>
    <t xml:space="preserve">41.5554031100,-93.6289031300</t>
  </si>
  <si>
    <t xml:space="preserve">46–54</t>
  </si>
  <si>
    <t xml:space="preserve">41.5555248000,-93.6548361300</t>
  </si>
  <si>
    <t xml:space="preserve">41.5184751600,-93.6451078400</t>
  </si>
  <si>
    <t xml:space="preserve">55–59</t>
  </si>
  <si>
    <t xml:space="preserve">41.5123679200,-93.6447827000</t>
  </si>
  <si>
    <t xml:space="preserve">41.4761570200,-93.5216146000</t>
  </si>
  <si>
    <t xml:space="preserve">Route assumptions</t>
  </si>
  <si>
    <t xml:space="preserve">Stop order remains 1–59. Parts 1–7 use the work-order coordinates in this workbook.</t>
  </si>
  <si>
    <t xml:space="preserve">Sequence uses geographic proximity. It is not a verified fastest road route and has no calculated drive or work times.</t>
  </si>
  <si>
    <t xml:space="preserve">GPS pins use work-order coordinates. Five source street addresses are blank; those stops use GPS only.</t>
  </si>
  <si>
    <t xml:space="preserve">Suggested workdays remain stops 1–30 and 31–59. Each map part has nine poles except Part 7, which has five.</t>
  </si>
  <si>
    <t xml:space="preserve">Sources</t>
  </si>
  <si>
    <t xml:space="preserve">Source: 07400073460212 ~Des Moines IA Pole Transfers.xlsx. Sheet1, rows 4–62. All 59 records matched.</t>
  </si>
  <si>
    <t xml:space="preserve">Street suffixes expanded for readability. Area labels describe routing groups and are not replacement street addresses.</t>
  </si>
  <si>
    <t xml:space="preserve">Google Maps URL documentation: https://developers.google.com/maps/documentation/urls/get-started</t>
  </si>
  <si>
    <t xml:space="preserve">Source records preserved in Devco_30_Pole_Daily_Routes.xlsx, Transfer source tab.</t>
  </si>
  <si>
    <t xml:space="preserve">Stops 15, 24, 33, 45 and 59 had GPS differences over 5 metres in the screenshot transcription. Links now use work-order coordinates.</t>
  </si>
  <si>
    <t xml:space="preserve">Field entry</t>
  </si>
  <si>
    <t xml:space="preserve">Notes are in column C. Billing codes are in D. Photos / documents are in E. Yellow cells accept your entries.</t>
  </si>
  <si>
    <t xml:space="preserve">Photos: paste a photo or folder link, or insert a picture in the Photos area for that pole.</t>
  </si>
  <si>
    <t xml:space="preserve">Work status tracks your progress. Permit status is copied from the work order.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</si>
</sst>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_);_(* \(#,##0.00\);_(* \-??_);_(@_)"/>
    <numFmt numFmtId="166" formatCode="_(* #,##0.00_);_(* \(#,##0.00\);_(* \-??_);_(@_)"/>
    <numFmt numFmtId="167" formatCode="_(* #,##0_);_(* \(#,##0\);_(* \-_);_(@_)"/>
    <numFmt numFmtId="168" formatCode="_(* #,##0_);_(* \(#,##0\);_(* \-_);_(@_)"/>
    <numFmt numFmtId="169" formatCode="_(\$* #,##0.00_);_(\$* \(#,##0.00\);_(\$* \-??_);_(@_)"/>
    <numFmt numFmtId="170" formatCode="_(\$* #,##0.00_);_(\$* \(#,##0.00\);_(\$* \-??_);_(@_)"/>
    <numFmt numFmtId="171" formatCode="_(\$* #,##0_);_(\$* \(#,##0\);_(\$* \-_);_(@_)"/>
    <numFmt numFmtId="172" formatCode="_(\$* #,##0_);_(\$* \(#,##0\);_(\$* \-_);_(@_)"/>
    <numFmt numFmtId="173" formatCode="0%"/>
    <numFmt numFmtId="174" formatCode="@"/>
    <numFmt numFmtId="175" formatCode="m/d/yy\ h:mm:ss"/>
    <numFmt numFmtId="176" formatCode="0.0000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sz val="11"/>
      <color rgb="FF263445"/>
      <name val="Arial"/>
      <family val="0"/>
      <charset val="1"/>
    </font>
    <font>
      <b val="true"/>
      <sz val="17"/>
      <color rgb="FF203B55"/>
      <name val="Arial"/>
      <family val="0"/>
      <charset val="1"/>
    </font>
    <font>
      <b val="true"/>
      <sz val="11"/>
      <color rgb="FF203B55"/>
      <name val="Arial"/>
      <family val="0"/>
      <charset val="1"/>
    </font>
    <font>
      <b val="true"/>
      <sz val="11"/>
      <color rgb="FF263445"/>
      <name val="Arial"/>
      <family val="0"/>
      <charset val="1"/>
    </font>
    <font>
      <sz val="10"/>
      <color rgb="FF5B67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55B99"/>
      <name val="Arial"/>
      <family val="0"/>
      <charset val="1"/>
    </font>
    <font>
      <b val="true"/>
      <sz val="10"/>
      <color rgb="FF5B677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3B55"/>
        <bgColor rgb="FF263445"/>
      </patternFill>
    </fill>
    <fill>
      <patternFill patternType="solid">
        <fgColor rgb="FFFFFFFF"/>
        <bgColor rgb="FFF1F5F8"/>
      </patternFill>
    </fill>
    <fill>
      <patternFill patternType="solid">
        <fgColor rgb="FFFFF8DC"/>
        <bgColor rgb="FFFFF1D6"/>
      </patternFill>
    </fill>
    <fill>
      <patternFill patternType="solid">
        <fgColor rgb="FFF1F5F8"/>
        <bgColor rgb="FFFFFFFF"/>
      </patternFill>
    </fill>
    <fill>
      <patternFill patternType="solid">
        <fgColor rgb="FFFFF1D6"/>
        <bgColor rgb="FFFFF8D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7D5E0"/>
      </bottom>
      <diagonal/>
    </border>
    <border diagonalUp="false" diagonalDown="false">
      <left/>
      <right style="thin">
        <color rgb="FFE5DEBF"/>
      </right>
      <top/>
      <bottom style="thin">
        <color rgb="FFE5DEBF"/>
      </bottom>
      <diagonal/>
    </border>
    <border diagonalUp="false" diagonalDown="false">
      <left style="thin">
        <color rgb="FFE5DEBF"/>
      </left>
      <right style="thin">
        <color rgb="FFE5DEBF"/>
      </right>
      <top/>
      <bottom style="thin">
        <color rgb="FFE5DEBF"/>
      </bottom>
      <diagonal/>
    </border>
    <border diagonalUp="false" diagonalDown="false">
      <left style="thin">
        <color rgb="FFE5DEBF"/>
      </left>
      <right/>
      <top/>
      <bottom style="thin">
        <color rgb="FFE5DEBF"/>
      </bottom>
      <diagonal/>
    </border>
    <border diagonalUp="false" diagonalDown="false">
      <left/>
      <right style="thin">
        <color rgb="FFE5DEBF"/>
      </right>
      <top style="thin">
        <color rgb="FFE5DEBF"/>
      </top>
      <bottom style="thin">
        <color rgb="FFE5DEBF"/>
      </bottom>
      <diagonal/>
    </border>
    <border diagonalUp="false" diagonalDown="false">
      <left style="thin">
        <color rgb="FFE5DEBF"/>
      </left>
      <right style="thin">
        <color rgb="FFE5DEBF"/>
      </right>
      <top style="thin">
        <color rgb="FFE5DEBF"/>
      </top>
      <bottom style="thin">
        <color rgb="FFE5DEBF"/>
      </bottom>
      <diagonal/>
    </border>
    <border diagonalUp="false" diagonalDown="false">
      <left style="thin">
        <color rgb="FFE5DEBF"/>
      </left>
      <right/>
      <top style="thin">
        <color rgb="FFE5DEBF"/>
      </top>
      <bottom style="thin">
        <color rgb="FFE5DEBF"/>
      </bottom>
      <diagonal/>
    </border>
    <border diagonalUp="false" diagonalDown="false">
      <left/>
      <right/>
      <top style="medium">
        <color rgb="FF203B55"/>
      </top>
      <bottom/>
      <diagonal/>
    </border>
    <border diagonalUp="false" diagonalDown="false">
      <left/>
      <right style="thin">
        <color rgb="FFE5DEBF"/>
      </right>
      <top style="medium">
        <color rgb="FF203B55"/>
      </top>
      <bottom style="thin">
        <color rgb="FFE5DEBF"/>
      </bottom>
      <diagonal/>
    </border>
    <border diagonalUp="false" diagonalDown="false">
      <left style="thin">
        <color rgb="FFE5DEBF"/>
      </left>
      <right style="thin">
        <color rgb="FFE5DEBF"/>
      </right>
      <top style="medium">
        <color rgb="FF203B55"/>
      </top>
      <bottom style="thin">
        <color rgb="FFE5DEBF"/>
      </bottom>
      <diagonal/>
    </border>
    <border diagonalUp="false" diagonalDown="false">
      <left style="thin">
        <color rgb="FFE5DEBF"/>
      </left>
      <right/>
      <top style="medium">
        <color rgb="FF203B55"/>
      </top>
      <bottom style="thin">
        <color rgb="FFE5DEBF"/>
      </bottom>
      <diagonal/>
    </border>
    <border diagonalUp="false" diagonalDown="false">
      <left/>
      <right style="thin">
        <color rgb="FFE5DEBF"/>
      </right>
      <top style="thin">
        <color rgb="FFE5DEBF"/>
      </top>
      <bottom/>
      <diagonal/>
    </border>
    <border diagonalUp="false" diagonalDown="false">
      <left style="thin">
        <color rgb="FFE5DEBF"/>
      </left>
      <right style="thin">
        <color rgb="FFE5DEBF"/>
      </right>
      <top style="thin">
        <color rgb="FFE5DEBF"/>
      </top>
      <bottom/>
      <diagonal/>
    </border>
    <border diagonalUp="false" diagonalDown="false">
      <left style="thin">
        <color rgb="FFE5DEBF"/>
      </left>
      <right/>
      <top style="thin">
        <color rgb="FFE5DEBF"/>
      </top>
      <bottom/>
      <diagonal/>
    </border>
    <border diagonalUp="false" diagonalDown="false">
      <left/>
      <right/>
      <top/>
      <bottom style="thin">
        <color rgb="FFBAC6D0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1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28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6" fillId="4" borderId="2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6" fillId="4" borderId="3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3" borderId="0" xfId="2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2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8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5" fontId="6" fillId="3" borderId="0" xfId="28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6" fontId="6" fillId="3" borderId="0" xfId="28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0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28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6" fillId="4" borderId="5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6" fillId="4" borderId="6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7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5" borderId="0" xfId="2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2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2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28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5" fontId="6" fillId="5" borderId="0" xfId="28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6" fontId="6" fillId="5" borderId="0" xfId="28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0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28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8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8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6" fillId="4" borderId="9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6" fillId="4" borderId="10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1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5" borderId="8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8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8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6" fillId="5" borderId="8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6" fillId="5" borderId="8" xfId="2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8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8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6" fillId="3" borderId="8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8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8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6" fillId="3" borderId="8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6" fillId="3" borderId="8" xfId="2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0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6" fillId="4" borderId="12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6" fillId="4" borderId="13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3" borderId="0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3" borderId="0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6" fillId="3" borderId="0" xfId="2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5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5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8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1" xfId="29"/>
    <cellStyle name="Normal 5" xfId="30"/>
    <cellStyle name="Percent" xfId="31"/>
    <cellStyle name="Percent 6" xfId="32"/>
  </cellStyles>
  <dxfs count="16">
    <dxf>
      <fill>
        <patternFill patternType="solid">
          <fgColor rgb="FF203B55"/>
          <bgColor rgb="FF000000"/>
        </patternFill>
      </fill>
    </dxf>
    <dxf>
      <fill>
        <patternFill patternType="solid">
          <fgColor rgb="FFF1F5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3445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155B99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ont>
        <color rgb="FF255D39"/>
      </font>
      <fill>
        <patternFill>
          <bgColor rgb="FFE0F0E4"/>
        </patternFill>
      </fill>
    </dxf>
    <dxf>
      <font>
        <color rgb="FF805300"/>
      </font>
      <fill>
        <patternFill>
          <bgColor rgb="FFFFE9C5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9" type="wholeTable"/>
      <tableStyleElement dxfId="10" type="firstColumnStripe"/>
      <tableStyleElement dxfId="11" type="firstRowStripe"/>
      <tableStyleElement dxfId="12" type="lastColumn"/>
      <tableStyleElement dxfId="13" type="firstColumn"/>
      <tableStyleElement dxfId="14" type="headerRow"/>
      <tableStyleElement dxfId="15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AC6D0"/>
      <rgbColor rgb="FF808080"/>
      <rgbColor rgb="FF9999FF"/>
      <rgbColor rgb="FF993366"/>
      <rgbColor rgb="FFFFF8DC"/>
      <rgbColor rgb="FFF1F5F8"/>
      <rgbColor rgb="FF660066"/>
      <rgbColor rgb="FFFF8080"/>
      <rgbColor rgb="FF155B99"/>
      <rgbColor rgb="FFC7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1D6"/>
      <rgbColor rgb="FFE0F0E4"/>
      <rgbColor rgb="FFFFE9C5"/>
      <rgbColor rgb="FF99CCFF"/>
      <rgbColor rgb="FFFF99CC"/>
      <rgbColor rgb="FFCC99FF"/>
      <rgbColor rgb="FFE5DEBF"/>
      <rgbColor rgb="FF3366FF"/>
      <rgbColor rgb="FF46B1E1"/>
      <rgbColor rgb="FF99CC00"/>
      <rgbColor rgb="FFFFCC00"/>
      <rgbColor rgb="FFFF9900"/>
      <rgbColor rgb="FFFF6600"/>
      <rgbColor rgb="FF5B6775"/>
      <rgbColor rgb="FF969696"/>
      <rgbColor rgb="FF203B55"/>
      <rgbColor rgb="FF339966"/>
      <rgbColor rgb="FF003300"/>
      <rgbColor rgb="FF255D39"/>
      <rgbColor rgb="FF805300"/>
      <rgbColor rgb="FF993366"/>
      <rgbColor rgb="FF333399"/>
      <rgbColor rgb="FF2634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oleRoute" displayName="PoleRoute" ref="A6:AE65" headerRowCount="1" totalsRowCount="0" totalsRowShown="0">
  <autoFilter ref="A6:AE65"/>
  <tableColumns count="31">
    <tableColumn id="1" name="Stop"/>
    <tableColumn id="2" name="Pole address / GPS"/>
    <tableColumn id="3" name="Notes"/>
    <tableColumn id="4" name="Billing codes"/>
    <tableColumn id="5" name="Photos / documents"/>
    <tableColumn id="6" name="Work status"/>
    <tableColumn id="7" name="Pole FID"/>
    <tableColumn id="8" name="JU Record"/>
    <tableColumn id="9" name="Part"/>
    <tableColumn id="10" name="GPS nav"/>
    <tableColumn id="11" name="Work order"/>
    <tableColumn id="12" name="Licensee Name"/>
    <tableColumn id="13" name="Licensee Application Name"/>
    <tableColumn id="14" name="Application Description"/>
    <tableColumn id="15" name="Permit status"/>
    <tableColumn id="16" name="Status Date"/>
    <tableColumn id="17" name="JU Type"/>
    <tableColumn id="18" name="JU Subtype"/>
    <tableColumn id="19" name="Create Date"/>
    <tableColumn id="20" name="Field11"/>
    <tableColumn id="21" name="City"/>
    <tableColumn id="22" name="State"/>
    <tableColumn id="23" name="Service Area"/>
    <tableColumn id="24" name="Source address"/>
    <tableColumn id="25" name="Latitude"/>
    <tableColumn id="26" name="Longitude"/>
    <tableColumn id="27" name="Area"/>
    <tableColumn id="28" name="Source row"/>
    <tableColumn id="29" name="Column1"/>
    <tableColumn id="30" name="Source file"/>
    <tableColumn id="31" name="Source shee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dir/?api=1&amp;destination=41.6139194100%2C-93.5811985700&amp;waypoints=41.6803701500%2C-93.6248830400%7C41.6404532700%2C-93.5245397400%7C41.6390111100%2C-93.5222054400%7C41.6304331900%2C-93.5224298700%7C41.6007176300%2C-93.5367545000%7C41.5983694300%2C-93.5675048700%7C41.5982547800%2C-93.5747696800%7C41.5982380800%2C-93.5816172800&amp;travelmode=driving&amp;dir_action=navigate" TargetMode="External"/><Relationship Id="rId2" Type="http://schemas.openxmlformats.org/officeDocument/2006/relationships/hyperlink" Target="https://www.google.com/maps/dir/?api=1&amp;destination=41.6276102000%2C-93.6208609900&amp;waypoints=41.6179137900%2C-93.5812240600%7C41.6200715300%2C-93.5812225800%7C41.6240035700%2C-93.5812338300%7C41.6277774700%2C-93.6045201600%7C41.6277795600%2C-93.6047002200%7C41.6277774400%2C-93.6053875000%7C41.6277881500%2C-93.6072981800%7C41.6276057300%2C-93.6204926600&amp;travelmode=driving&amp;dir_action=navigate" TargetMode="External"/><Relationship Id="rId3" Type="http://schemas.openxmlformats.org/officeDocument/2006/relationships/hyperlink" Target="https://www.google.com/maps/dir/?api=1&amp;destination=41.6004488500%2C-93.6814518900&amp;waypoints=41.6276035100%2C-93.6223865200%7C41.6276026300%2C-93.6232144400%7C41.6275942800%2C-93.6240962700%7C41.6275974900%2C-93.6264145000%7C41.6292040100%2C-93.6561822000%7C41.6293046500%2C-93.6565336200%7C41.6408569500%2C-93.6689065700%7C41.6293910000%2C-93.6850066500&amp;travelmode=driving&amp;dir_action=navigate" TargetMode="External"/><Relationship Id="rId4" Type="http://schemas.openxmlformats.org/officeDocument/2006/relationships/hyperlink" Target="https://www.google.com/maps/dir/?api=1&amp;destination=41.6077241900%2C-93.6251420300&amp;waypoints=41.6004373400%2C-93.6738920200%7C41.6004252900%2C-93.6732772900%7C41.6004186600%2C-93.6730167700%7C41.6004239400%2C-93.6700773100%7C41.5919372200%2C-93.6407869300%7C41.5898143700%2C-93.6383848400%7C41.6004949400%2C-93.6343152500%7C41.6012045900%2C-93.6342686600&amp;travelmode=driving&amp;dir_action=navigate" TargetMode="External"/><Relationship Id="rId5" Type="http://schemas.openxmlformats.org/officeDocument/2006/relationships/hyperlink" Target="https://www.google.com/maps/dir/?api=1&amp;destination=41.5554031100%2C-93.6289031300&amp;waypoints=41.6035883900%2C-93.6185645800%7C41.6001873600%2C-93.6210141500%7C41.5554303300%2C-93.6104454300%7C41.5554325500%2C-93.6109665200%7C41.5554366700%2C-93.6119573100%7C41.5554530400%2C-93.6151939100%7C41.5554571700%2C-93.6156776700%7C41.5523137400%2C-93.6258201200&amp;travelmode=driving&amp;dir_action=navigate" TargetMode="External"/><Relationship Id="rId6" Type="http://schemas.openxmlformats.org/officeDocument/2006/relationships/hyperlink" Target="https://www.google.com/maps/dir/?api=1&amp;destination=41.5184751600%2C-93.6451078400&amp;waypoints=41.5555248000%2C-93.6548361300%7C41.5555309600%2C-93.6556491800%7C41.5471234900%2C-93.6451456700%7C41.5463676700%2C-93.6451483600%7C41.5459374600%2C-93.6451509600%7C41.5454852400%2C-93.6451548900%7C41.5431162700%2C-93.6451691800%7C41.5427364600%2C-93.6451654100&amp;travelmode=driving&amp;dir_action=navigate" TargetMode="External"/><Relationship Id="rId7" Type="http://schemas.openxmlformats.org/officeDocument/2006/relationships/hyperlink" Target="https://www.google.com/maps/dir/?api=1&amp;destination=41.4761570200%2C-93.5216146000&amp;waypoints=41.5123679200%2C-93.6447827000%7C41.5122002400%2C-93.6447800900%7C41.5261453700%2C-93.5915540300%7C41.4744786400%2C-93.5422118600&amp;travelmode=driving&amp;dir_action=navigat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B55"/>
    <pageSetUpPr fitToPage="false"/>
  </sheetPr>
  <dimension ref="A1:AE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32"/>
    <col collapsed="false" customWidth="true" hidden="false" outlineLevel="0" max="4" min="4" style="0" width="23"/>
    <col collapsed="false" customWidth="true" hidden="false" outlineLevel="0" max="5" min="5" style="0" width="27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2" min="11" style="0" width="20"/>
    <col collapsed="false" customWidth="true" hidden="false" outlineLevel="0" max="13" min="13" style="0" width="26"/>
    <col collapsed="false" customWidth="true" hidden="false" outlineLevel="0" max="14" min="14" style="0" width="56"/>
    <col collapsed="false" customWidth="true" hidden="false" outlineLevel="0" max="15" min="15" style="0" width="16"/>
    <col collapsed="false" customWidth="true" hidden="false" outlineLevel="0" max="16" min="16" style="0" width="23"/>
    <col collapsed="false" customWidth="true" hidden="false" outlineLevel="0" max="18" min="17" style="0" width="17"/>
    <col collapsed="false" customWidth="true" hidden="false" outlineLevel="0" max="19" min="19" style="0" width="23"/>
    <col collapsed="false" customWidth="true" hidden="false" outlineLevel="0" max="20" min="20" style="0" width="13"/>
    <col collapsed="false" customWidth="true" hidden="false" outlineLevel="0" max="21" min="21" style="0" width="19"/>
    <col collapsed="false" customWidth="true" hidden="false" outlineLevel="0" max="22" min="22" style="0" width="9"/>
    <col collapsed="false" customWidth="true" hidden="false" outlineLevel="0" max="23" min="23" style="0" width="16"/>
    <col collapsed="false" customWidth="true" hidden="false" outlineLevel="0" max="24" min="24" style="0" width="65"/>
    <col collapsed="false" customWidth="true" hidden="false" outlineLevel="0" max="26" min="25" style="0" width="16"/>
    <col collapsed="false" customWidth="true" hidden="false" outlineLevel="0" max="27" min="27" style="0" width="24"/>
    <col collapsed="false" customWidth="true" hidden="false" outlineLevel="0" max="28" min="28" style="0" width="13"/>
    <col collapsed="false" customWidth="true" hidden="false" outlineLevel="0" max="29" min="29" style="0" width="14"/>
    <col collapsed="false" customWidth="true" hidden="false" outlineLevel="0" max="30" min="30" style="0" width="58"/>
    <col collapsed="false" customWidth="true" hidden="false" outlineLevel="0" max="31" min="31" style="0" width="16"/>
  </cols>
  <sheetData>
    <row r="1" customFormat="false" ht="10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</row>
    <row r="3" customFormat="false" ht="25" hidden="false" customHeight="true" outlineLevel="0" collapsed="false">
      <c r="A3" s="3" t="s">
        <v>1</v>
      </c>
      <c r="B3" s="4"/>
      <c r="C3" s="4"/>
      <c r="D3" s="4"/>
      <c r="E3" s="4"/>
      <c r="F3" s="4"/>
      <c r="G3" s="4"/>
      <c r="H3" s="4"/>
      <c r="I3" s="4"/>
      <c r="J3" s="5"/>
      <c r="K3" s="5"/>
    </row>
    <row r="4" customFormat="false" ht="24" hidden="false" customHeight="true" outlineLevel="0" collapsed="false">
      <c r="A4" s="6" t="s">
        <v>2</v>
      </c>
      <c r="B4" s="7" t="n">
        <f aca="false">COUNTA(A7:A65)</f>
        <v>59</v>
      </c>
      <c r="C4" s="6" t="s">
        <v>3</v>
      </c>
      <c r="D4" s="1"/>
      <c r="E4" s="1"/>
      <c r="F4" s="1"/>
      <c r="G4" s="1"/>
      <c r="H4" s="1"/>
      <c r="I4" s="1"/>
    </row>
    <row r="5" customFormat="false" ht="26" hidden="false" customHeight="true" outlineLevel="0" collapsed="false">
      <c r="A5" s="8" t="s">
        <v>4</v>
      </c>
      <c r="B5" s="1"/>
      <c r="C5" s="1"/>
      <c r="D5" s="1"/>
      <c r="E5" s="1"/>
      <c r="F5" s="1"/>
      <c r="G5" s="1"/>
      <c r="H5" s="1"/>
      <c r="I5" s="1"/>
    </row>
    <row r="6" customFormat="false" ht="36" hidden="false" customHeight="true" outlineLevel="0" collapsed="false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30</v>
      </c>
      <c r="AA6" s="9" t="s">
        <v>31</v>
      </c>
      <c r="AB6" s="9" t="s">
        <v>32</v>
      </c>
      <c r="AC6" s="9" t="s">
        <v>33</v>
      </c>
      <c r="AD6" s="9" t="s">
        <v>34</v>
      </c>
      <c r="AE6" s="9" t="s">
        <v>35</v>
      </c>
    </row>
    <row r="7" customFormat="false" ht="56" hidden="false" customHeight="true" outlineLevel="0" collapsed="false">
      <c r="A7" s="10" t="n">
        <v>1</v>
      </c>
      <c r="B7" s="11" t="str">
        <f aca="false">HYPERLINK("https://www.google.com/maps/dir/?api=1&amp;destination=41.6803701500%2C-93.6248830400&amp;travelmode=driving&amp;dir_action=navigate","396 NW 65th Ln, Polk County, IA")</f>
        <v>396 NW 65th Ln, Polk County, IA</v>
      </c>
      <c r="C7" s="12"/>
      <c r="D7" s="13"/>
      <c r="E7" s="13"/>
      <c r="F7" s="14" t="s">
        <v>36</v>
      </c>
      <c r="G7" s="15" t="s">
        <v>37</v>
      </c>
      <c r="H7" s="15" t="s">
        <v>38</v>
      </c>
      <c r="I7" s="16" t="n">
        <v>1</v>
      </c>
      <c r="J7" s="17" t="str">
        <f aca="false">HYPERLINK("https://www.google.com/maps/dir/?api=1&amp;destination=41.6803701500%2C-93.6248830400&amp;travelmode=driving&amp;dir_action=navigate","GPS nav")</f>
        <v>GPS nav</v>
      </c>
      <c r="K7" s="15" t="s">
        <v>39</v>
      </c>
      <c r="L7" s="18" t="s">
        <v>40</v>
      </c>
      <c r="M7" s="18" t="s">
        <v>41</v>
      </c>
      <c r="N7" s="18" t="s">
        <v>42</v>
      </c>
      <c r="O7" s="18" t="s">
        <v>43</v>
      </c>
      <c r="P7" s="19" t="n">
        <v>46028.0508333333</v>
      </c>
      <c r="Q7" s="18" t="s">
        <v>44</v>
      </c>
      <c r="R7" s="18"/>
      <c r="S7" s="19" t="n">
        <v>46028.0508217593</v>
      </c>
      <c r="T7" s="18"/>
      <c r="U7" s="18" t="s">
        <v>45</v>
      </c>
      <c r="V7" s="18" t="s">
        <v>46</v>
      </c>
      <c r="W7" s="18" t="s">
        <v>47</v>
      </c>
      <c r="X7" s="18" t="s">
        <v>48</v>
      </c>
      <c r="Y7" s="20" t="n">
        <v>41.68037015</v>
      </c>
      <c r="Z7" s="20" t="n">
        <v>-93.62488304</v>
      </c>
      <c r="AA7" s="18" t="s">
        <v>49</v>
      </c>
      <c r="AB7" s="16" t="n">
        <v>5</v>
      </c>
      <c r="AC7" s="18"/>
      <c r="AD7" s="18" t="s">
        <v>50</v>
      </c>
      <c r="AE7" s="21" t="s">
        <v>51</v>
      </c>
    </row>
    <row r="8" customFormat="false" ht="56" hidden="false" customHeight="true" outlineLevel="0" collapsed="false">
      <c r="A8" s="22" t="n">
        <v>2</v>
      </c>
      <c r="B8" s="23" t="str">
        <f aca="false">HYPERLINK("https://www.google.com/maps/dir/?api=1&amp;destination=41.6404532700%2C-93.5245397400&amp;travelmode=driving&amp;dir_action=navigate","Across from 4516 Hubbell Ave, Des Moines, IA")</f>
        <v>Across from 4516 Hubbell Ave, Des Moines, IA</v>
      </c>
      <c r="C8" s="24"/>
      <c r="D8" s="25"/>
      <c r="E8" s="25"/>
      <c r="F8" s="26" t="s">
        <v>36</v>
      </c>
      <c r="G8" s="27" t="s">
        <v>52</v>
      </c>
      <c r="H8" s="27" t="s">
        <v>53</v>
      </c>
      <c r="I8" s="28" t="n">
        <v>1</v>
      </c>
      <c r="J8" s="29" t="str">
        <f aca="false">HYPERLINK("https://www.google.com/maps/dir/?api=1&amp;destination=41.6404532700%2C-93.5245397400&amp;travelmode=driving&amp;dir_action=navigate","GPS nav")</f>
        <v>GPS nav</v>
      </c>
      <c r="K8" s="27" t="s">
        <v>39</v>
      </c>
      <c r="L8" s="30" t="s">
        <v>40</v>
      </c>
      <c r="M8" s="30" t="s">
        <v>41</v>
      </c>
      <c r="N8" s="30" t="s">
        <v>54</v>
      </c>
      <c r="O8" s="30" t="s">
        <v>43</v>
      </c>
      <c r="P8" s="31" t="n">
        <v>46027.5354513889</v>
      </c>
      <c r="Q8" s="30" t="s">
        <v>44</v>
      </c>
      <c r="R8" s="30"/>
      <c r="S8" s="31" t="n">
        <v>46027.5354513889</v>
      </c>
      <c r="T8" s="30" t="s">
        <v>55</v>
      </c>
      <c r="U8" s="30" t="s">
        <v>45</v>
      </c>
      <c r="V8" s="30" t="s">
        <v>46</v>
      </c>
      <c r="W8" s="30" t="s">
        <v>47</v>
      </c>
      <c r="X8" s="30" t="s">
        <v>56</v>
      </c>
      <c r="Y8" s="32" t="n">
        <v>41.64045327</v>
      </c>
      <c r="Z8" s="32" t="n">
        <v>-93.52453974</v>
      </c>
      <c r="AA8" s="30" t="s">
        <v>57</v>
      </c>
      <c r="AB8" s="28" t="n">
        <v>40</v>
      </c>
      <c r="AC8" s="30"/>
      <c r="AD8" s="30" t="s">
        <v>50</v>
      </c>
      <c r="AE8" s="33" t="s">
        <v>51</v>
      </c>
    </row>
    <row r="9" customFormat="false" ht="56" hidden="false" customHeight="true" outlineLevel="0" collapsed="false">
      <c r="A9" s="10" t="n">
        <v>3</v>
      </c>
      <c r="B9" s="11" t="str">
        <f aca="false">HYPERLINK("https://www.google.com/maps/dir/?api=1&amp;destination=41.6390111100%2C-93.5222054400&amp;travelmode=driving&amp;dir_action=navigate","4401 E 46th St, Des Moines, IA")</f>
        <v>4401 E 46th St, Des Moines, IA</v>
      </c>
      <c r="C9" s="24"/>
      <c r="D9" s="25"/>
      <c r="E9" s="25"/>
      <c r="F9" s="26" t="s">
        <v>36</v>
      </c>
      <c r="G9" s="15" t="s">
        <v>58</v>
      </c>
      <c r="H9" s="15" t="s">
        <v>59</v>
      </c>
      <c r="I9" s="16" t="n">
        <v>1</v>
      </c>
      <c r="J9" s="17" t="str">
        <f aca="false">HYPERLINK("https://www.google.com/maps/dir/?api=1&amp;destination=41.6390111100%2C-93.5222054400&amp;travelmode=driving&amp;dir_action=navigate","GPS nav")</f>
        <v>GPS nav</v>
      </c>
      <c r="K9" s="15" t="s">
        <v>39</v>
      </c>
      <c r="L9" s="18" t="s">
        <v>40</v>
      </c>
      <c r="M9" s="18" t="s">
        <v>41</v>
      </c>
      <c r="N9" s="18" t="s">
        <v>60</v>
      </c>
      <c r="O9" s="18" t="s">
        <v>43</v>
      </c>
      <c r="P9" s="19" t="n">
        <v>45944.9707291667</v>
      </c>
      <c r="Q9" s="18" t="s">
        <v>44</v>
      </c>
      <c r="R9" s="18"/>
      <c r="S9" s="19" t="n">
        <v>45944.9707175926</v>
      </c>
      <c r="T9" s="18" t="s">
        <v>55</v>
      </c>
      <c r="U9" s="18" t="s">
        <v>45</v>
      </c>
      <c r="V9" s="18" t="s">
        <v>46</v>
      </c>
      <c r="W9" s="18" t="s">
        <v>47</v>
      </c>
      <c r="X9" s="18" t="s">
        <v>61</v>
      </c>
      <c r="Y9" s="20" t="n">
        <v>41.63901111</v>
      </c>
      <c r="Z9" s="20" t="n">
        <v>-93.52220544</v>
      </c>
      <c r="AA9" s="18" t="s">
        <v>62</v>
      </c>
      <c r="AB9" s="16" t="n">
        <v>20</v>
      </c>
      <c r="AC9" s="18"/>
      <c r="AD9" s="18" t="s">
        <v>50</v>
      </c>
      <c r="AE9" s="21" t="s">
        <v>51</v>
      </c>
    </row>
    <row r="10" customFormat="false" ht="56" hidden="false" customHeight="true" outlineLevel="0" collapsed="false">
      <c r="A10" s="22" t="n">
        <v>4</v>
      </c>
      <c r="B10" s="23" t="str">
        <f aca="false">HYPERLINK("https://www.google.com/maps/dir/?api=1&amp;destination=41.6304331900%2C-93.5224298700&amp;travelmode=driving&amp;dir_action=navigate","3850 NE 46th St, Polk County, IA")</f>
        <v>3850 NE 46th St, Polk County, IA</v>
      </c>
      <c r="C10" s="24"/>
      <c r="D10" s="25"/>
      <c r="E10" s="25"/>
      <c r="F10" s="26" t="s">
        <v>36</v>
      </c>
      <c r="G10" s="27" t="s">
        <v>63</v>
      </c>
      <c r="H10" s="27" t="s">
        <v>64</v>
      </c>
      <c r="I10" s="28" t="n">
        <v>1</v>
      </c>
      <c r="J10" s="29" t="str">
        <f aca="false">HYPERLINK("https://www.google.com/maps/dir/?api=1&amp;destination=41.6304331900%2C-93.5224298700&amp;travelmode=driving&amp;dir_action=navigate","GPS nav")</f>
        <v>GPS nav</v>
      </c>
      <c r="K10" s="27" t="s">
        <v>39</v>
      </c>
      <c r="L10" s="30" t="s">
        <v>40</v>
      </c>
      <c r="M10" s="30" t="s">
        <v>41</v>
      </c>
      <c r="N10" s="30" t="s">
        <v>65</v>
      </c>
      <c r="O10" s="30" t="s">
        <v>43</v>
      </c>
      <c r="P10" s="31" t="n">
        <v>46177.0884606482</v>
      </c>
      <c r="Q10" s="30" t="s">
        <v>44</v>
      </c>
      <c r="R10" s="30"/>
      <c r="S10" s="31" t="n">
        <v>46177.0884606482</v>
      </c>
      <c r="T10" s="30"/>
      <c r="U10" s="30" t="s">
        <v>45</v>
      </c>
      <c r="V10" s="30" t="s">
        <v>46</v>
      </c>
      <c r="W10" s="30" t="s">
        <v>47</v>
      </c>
      <c r="X10" s="30" t="s">
        <v>66</v>
      </c>
      <c r="Y10" s="32" t="n">
        <v>41.63043319</v>
      </c>
      <c r="Z10" s="32" t="n">
        <v>-93.52242987</v>
      </c>
      <c r="AA10" s="30" t="s">
        <v>62</v>
      </c>
      <c r="AB10" s="28" t="n">
        <v>6</v>
      </c>
      <c r="AC10" s="30"/>
      <c r="AD10" s="30" t="s">
        <v>50</v>
      </c>
      <c r="AE10" s="33" t="s">
        <v>51</v>
      </c>
    </row>
    <row r="11" customFormat="false" ht="56" hidden="false" customHeight="true" outlineLevel="0" collapsed="false">
      <c r="A11" s="10" t="n">
        <v>5</v>
      </c>
      <c r="B11" s="11" t="str">
        <f aca="false">HYPERLINK("https://www.google.com/maps/dir/?api=1&amp;destination=41.6007176300%2C-93.5367545000&amp;travelmode=driving&amp;dir_action=navigate","4034 E University Ave, Des Moines, IA")</f>
        <v>4034 E University Ave, Des Moines, IA</v>
      </c>
      <c r="C11" s="24"/>
      <c r="D11" s="25"/>
      <c r="E11" s="25"/>
      <c r="F11" s="26" t="s">
        <v>36</v>
      </c>
      <c r="G11" s="15" t="s">
        <v>67</v>
      </c>
      <c r="H11" s="15" t="s">
        <v>68</v>
      </c>
      <c r="I11" s="16" t="n">
        <v>1</v>
      </c>
      <c r="J11" s="17" t="str">
        <f aca="false">HYPERLINK("https://www.google.com/maps/dir/?api=1&amp;destination=41.6007176300%2C-93.5367545000&amp;travelmode=driving&amp;dir_action=navigate","GPS nav")</f>
        <v>GPS nav</v>
      </c>
      <c r="K11" s="15" t="s">
        <v>39</v>
      </c>
      <c r="L11" s="18" t="s">
        <v>40</v>
      </c>
      <c r="M11" s="18" t="s">
        <v>41</v>
      </c>
      <c r="N11" s="18" t="s">
        <v>69</v>
      </c>
      <c r="O11" s="18" t="s">
        <v>43</v>
      </c>
      <c r="P11" s="19" t="n">
        <v>46120.053912037</v>
      </c>
      <c r="Q11" s="18" t="s">
        <v>44</v>
      </c>
      <c r="R11" s="18"/>
      <c r="S11" s="19" t="n">
        <v>46120.053900463</v>
      </c>
      <c r="T11" s="18" t="s">
        <v>55</v>
      </c>
      <c r="U11" s="18" t="s">
        <v>45</v>
      </c>
      <c r="V11" s="18" t="s">
        <v>46</v>
      </c>
      <c r="W11" s="18" t="s">
        <v>47</v>
      </c>
      <c r="X11" s="18" t="s">
        <v>70</v>
      </c>
      <c r="Y11" s="20" t="n">
        <v>41.60071763</v>
      </c>
      <c r="Z11" s="20" t="n">
        <v>-93.5367545</v>
      </c>
      <c r="AA11" s="18" t="s">
        <v>71</v>
      </c>
      <c r="AB11" s="16" t="n">
        <v>50</v>
      </c>
      <c r="AC11" s="18"/>
      <c r="AD11" s="18" t="s">
        <v>50</v>
      </c>
      <c r="AE11" s="21" t="s">
        <v>51</v>
      </c>
    </row>
    <row r="12" customFormat="false" ht="56" hidden="false" customHeight="true" outlineLevel="0" collapsed="false">
      <c r="A12" s="22" t="n">
        <v>6</v>
      </c>
      <c r="B12" s="23" t="str">
        <f aca="false">HYPERLINK("https://www.google.com/maps/dir/?api=1&amp;destination=41.5983694300%2C-93.5675048700&amp;travelmode=driving&amp;dir_action=navigate","Across from 2609 Maple St, Des Moines, IA")</f>
        <v>Across from 2609 Maple St, Des Moines, IA</v>
      </c>
      <c r="C12" s="24"/>
      <c r="D12" s="25"/>
      <c r="E12" s="25"/>
      <c r="F12" s="26" t="s">
        <v>36</v>
      </c>
      <c r="G12" s="27" t="s">
        <v>72</v>
      </c>
      <c r="H12" s="27" t="s">
        <v>73</v>
      </c>
      <c r="I12" s="28" t="n">
        <v>1</v>
      </c>
      <c r="J12" s="29" t="str">
        <f aca="false">HYPERLINK("https://www.google.com/maps/dir/?api=1&amp;destination=41.5983694300%2C-93.5675048700&amp;travelmode=driving&amp;dir_action=navigate","GPS nav")</f>
        <v>GPS nav</v>
      </c>
      <c r="K12" s="27" t="s">
        <v>39</v>
      </c>
      <c r="L12" s="30" t="s">
        <v>40</v>
      </c>
      <c r="M12" s="30" t="s">
        <v>41</v>
      </c>
      <c r="N12" s="30" t="s">
        <v>74</v>
      </c>
      <c r="O12" s="30" t="s">
        <v>43</v>
      </c>
      <c r="P12" s="31" t="n">
        <v>46148.0471296296</v>
      </c>
      <c r="Q12" s="30" t="s">
        <v>44</v>
      </c>
      <c r="R12" s="30"/>
      <c r="S12" s="31" t="n">
        <v>46148.0471180556</v>
      </c>
      <c r="T12" s="30" t="s">
        <v>55</v>
      </c>
      <c r="U12" s="30" t="s">
        <v>45</v>
      </c>
      <c r="V12" s="30" t="s">
        <v>46</v>
      </c>
      <c r="W12" s="30" t="s">
        <v>47</v>
      </c>
      <c r="X12" s="30" t="s">
        <v>75</v>
      </c>
      <c r="Y12" s="32" t="n">
        <v>41.59836943</v>
      </c>
      <c r="Z12" s="32" t="n">
        <v>-93.56750487</v>
      </c>
      <c r="AA12" s="30" t="s">
        <v>76</v>
      </c>
      <c r="AB12" s="28" t="n">
        <v>57</v>
      </c>
      <c r="AC12" s="30"/>
      <c r="AD12" s="30" t="s">
        <v>50</v>
      </c>
      <c r="AE12" s="33" t="s">
        <v>51</v>
      </c>
    </row>
    <row r="13" customFormat="false" ht="56" hidden="false" customHeight="true" outlineLevel="0" collapsed="false">
      <c r="A13" s="10" t="n">
        <v>7</v>
      </c>
      <c r="B13" s="11" t="str">
        <f aca="false">HYPERLINK("https://www.google.com/maps/dir/?api=1&amp;destination=41.5982547800%2C-93.5747696800&amp;travelmode=driving&amp;dir_action=navigate","Across from 2303 Maple St, Des Moines, IA")</f>
        <v>Across from 2303 Maple St, Des Moines, IA</v>
      </c>
      <c r="C13" s="24"/>
      <c r="D13" s="25"/>
      <c r="E13" s="25"/>
      <c r="F13" s="26" t="s">
        <v>36</v>
      </c>
      <c r="G13" s="15" t="s">
        <v>77</v>
      </c>
      <c r="H13" s="15" t="s">
        <v>78</v>
      </c>
      <c r="I13" s="16" t="n">
        <v>1</v>
      </c>
      <c r="J13" s="17" t="str">
        <f aca="false">HYPERLINK("https://www.google.com/maps/dir/?api=1&amp;destination=41.5982547800%2C-93.5747696800&amp;travelmode=driving&amp;dir_action=navigate","GPS nav")</f>
        <v>GPS nav</v>
      </c>
      <c r="K13" s="15" t="s">
        <v>39</v>
      </c>
      <c r="L13" s="18" t="s">
        <v>40</v>
      </c>
      <c r="M13" s="18" t="s">
        <v>41</v>
      </c>
      <c r="N13" s="18" t="s">
        <v>79</v>
      </c>
      <c r="O13" s="18" t="s">
        <v>43</v>
      </c>
      <c r="P13" s="19" t="n">
        <v>45936.4090856482</v>
      </c>
      <c r="Q13" s="18" t="s">
        <v>44</v>
      </c>
      <c r="R13" s="18"/>
      <c r="S13" s="19" t="n">
        <v>45936.4090740741</v>
      </c>
      <c r="T13" s="18" t="s">
        <v>55</v>
      </c>
      <c r="U13" s="18" t="s">
        <v>45</v>
      </c>
      <c r="V13" s="18" t="s">
        <v>46</v>
      </c>
      <c r="W13" s="18" t="s">
        <v>47</v>
      </c>
      <c r="X13" s="18" t="s">
        <v>80</v>
      </c>
      <c r="Y13" s="20" t="n">
        <v>41.59825478</v>
      </c>
      <c r="Z13" s="20" t="n">
        <v>-93.57476968</v>
      </c>
      <c r="AA13" s="18" t="s">
        <v>76</v>
      </c>
      <c r="AB13" s="16" t="n">
        <v>18</v>
      </c>
      <c r="AC13" s="18"/>
      <c r="AD13" s="18" t="s">
        <v>50</v>
      </c>
      <c r="AE13" s="21" t="s">
        <v>51</v>
      </c>
    </row>
    <row r="14" customFormat="false" ht="56" hidden="false" customHeight="true" outlineLevel="0" collapsed="false">
      <c r="A14" s="22" t="n">
        <v>8</v>
      </c>
      <c r="B14" s="23" t="str">
        <f aca="false">HYPERLINK("https://www.google.com/maps/dir/?api=1&amp;destination=41.5982380800%2C-93.5816172800&amp;travelmode=driving&amp;dir_action=navigate","2014 Maple St, Des Moines, IA")</f>
        <v>2014 Maple St, Des Moines, IA</v>
      </c>
      <c r="C14" s="24"/>
      <c r="D14" s="25"/>
      <c r="E14" s="25"/>
      <c r="F14" s="26" t="s">
        <v>36</v>
      </c>
      <c r="G14" s="27" t="s">
        <v>81</v>
      </c>
      <c r="H14" s="27" t="s">
        <v>82</v>
      </c>
      <c r="I14" s="28" t="n">
        <v>1</v>
      </c>
      <c r="J14" s="29" t="str">
        <f aca="false">HYPERLINK("https://www.google.com/maps/dir/?api=1&amp;destination=41.5982380800%2C-93.5816172800&amp;travelmode=driving&amp;dir_action=navigate","GPS nav")</f>
        <v>GPS nav</v>
      </c>
      <c r="K14" s="27" t="s">
        <v>39</v>
      </c>
      <c r="L14" s="30" t="s">
        <v>40</v>
      </c>
      <c r="M14" s="30" t="s">
        <v>41</v>
      </c>
      <c r="N14" s="30" t="s">
        <v>83</v>
      </c>
      <c r="O14" s="30" t="s">
        <v>43</v>
      </c>
      <c r="P14" s="31" t="n">
        <v>46125.1713194444</v>
      </c>
      <c r="Q14" s="30" t="s">
        <v>44</v>
      </c>
      <c r="R14" s="30"/>
      <c r="S14" s="31" t="n">
        <v>46125.1713078704</v>
      </c>
      <c r="T14" s="30" t="s">
        <v>55</v>
      </c>
      <c r="U14" s="30" t="s">
        <v>45</v>
      </c>
      <c r="V14" s="30" t="s">
        <v>46</v>
      </c>
      <c r="W14" s="30" t="s">
        <v>47</v>
      </c>
      <c r="X14" s="30" t="s">
        <v>84</v>
      </c>
      <c r="Y14" s="32" t="n">
        <v>41.59823808</v>
      </c>
      <c r="Z14" s="32" t="n">
        <v>-93.58161728</v>
      </c>
      <c r="AA14" s="30" t="s">
        <v>76</v>
      </c>
      <c r="AB14" s="28" t="n">
        <v>55</v>
      </c>
      <c r="AC14" s="30"/>
      <c r="AD14" s="30" t="s">
        <v>50</v>
      </c>
      <c r="AE14" s="33" t="s">
        <v>51</v>
      </c>
    </row>
    <row r="15" customFormat="false" ht="56" hidden="false" customHeight="true" outlineLevel="0" collapsed="false">
      <c r="A15" s="10" t="n">
        <v>9</v>
      </c>
      <c r="B15" s="34" t="str">
        <f aca="false">HYPERLINK("https://www.google.com/maps/dir/?api=1&amp;destination=41.6139194100%2C-93.5811985700&amp;travelmode=driving&amp;dir_action=navigate","GPS only — Delaware Avenue. Street address blank in source.")</f>
        <v>GPS only — Delaware Avenue. Street address blank in source.</v>
      </c>
      <c r="C15" s="24"/>
      <c r="D15" s="25"/>
      <c r="E15" s="25"/>
      <c r="F15" s="26" t="s">
        <v>36</v>
      </c>
      <c r="G15" s="15" t="s">
        <v>85</v>
      </c>
      <c r="H15" s="15" t="s">
        <v>86</v>
      </c>
      <c r="I15" s="16" t="n">
        <v>1</v>
      </c>
      <c r="J15" s="17" t="str">
        <f aca="false">HYPERLINK("https://www.google.com/maps/dir/?api=1&amp;destination=41.6139194100%2C-93.5811985700&amp;travelmode=driving&amp;dir_action=navigate","GPS nav")</f>
        <v>GPS nav</v>
      </c>
      <c r="K15" s="15" t="s">
        <v>39</v>
      </c>
      <c r="L15" s="18" t="s">
        <v>40</v>
      </c>
      <c r="M15" s="18" t="s">
        <v>41</v>
      </c>
      <c r="N15" s="18" t="s">
        <v>87</v>
      </c>
      <c r="O15" s="18" t="s">
        <v>43</v>
      </c>
      <c r="P15" s="19" t="n">
        <v>45957.6011458333</v>
      </c>
      <c r="Q15" s="18" t="s">
        <v>44</v>
      </c>
      <c r="R15" s="18"/>
      <c r="S15" s="19" t="n">
        <v>45957.6011342593</v>
      </c>
      <c r="T15" s="18" t="s">
        <v>55</v>
      </c>
      <c r="U15" s="18" t="s">
        <v>45</v>
      </c>
      <c r="V15" s="18" t="s">
        <v>46</v>
      </c>
      <c r="W15" s="18" t="s">
        <v>47</v>
      </c>
      <c r="X15" s="18"/>
      <c r="Y15" s="20" t="n">
        <v>41.61391941</v>
      </c>
      <c r="Z15" s="20" t="n">
        <v>-93.58119857</v>
      </c>
      <c r="AA15" s="18" t="s">
        <v>88</v>
      </c>
      <c r="AB15" s="16" t="n">
        <v>24</v>
      </c>
      <c r="AC15" s="18"/>
      <c r="AD15" s="18" t="s">
        <v>50</v>
      </c>
      <c r="AE15" s="21" t="s">
        <v>51</v>
      </c>
    </row>
    <row r="16" customFormat="false" ht="56" hidden="false" customHeight="true" outlineLevel="0" collapsed="false">
      <c r="A16" s="35" t="n">
        <v>10</v>
      </c>
      <c r="B16" s="36" t="str">
        <f aca="false">HYPERLINK("https://www.google.com/maps/dir/?api=1&amp;destination=41.6179137900%2C-93.5812240600&amp;travelmode=driving&amp;dir_action=navigate","In front of 2425 Delaware Ave, Des Moines, IA")</f>
        <v>In front of 2425 Delaware Ave, Des Moines, IA</v>
      </c>
      <c r="C16" s="37"/>
      <c r="D16" s="38"/>
      <c r="E16" s="38"/>
      <c r="F16" s="39" t="s">
        <v>36</v>
      </c>
      <c r="G16" s="40" t="s">
        <v>89</v>
      </c>
      <c r="H16" s="40" t="s">
        <v>90</v>
      </c>
      <c r="I16" s="35" t="n">
        <v>2</v>
      </c>
      <c r="J16" s="41" t="str">
        <f aca="false">HYPERLINK("https://www.google.com/maps/dir/?api=1&amp;destination=41.6179137900%2C-93.5812240600&amp;travelmode=driving&amp;dir_action=navigate","GPS nav")</f>
        <v>GPS nav</v>
      </c>
      <c r="K16" s="40" t="s">
        <v>39</v>
      </c>
      <c r="L16" s="42" t="s">
        <v>40</v>
      </c>
      <c r="M16" s="42" t="s">
        <v>41</v>
      </c>
      <c r="N16" s="42" t="s">
        <v>91</v>
      </c>
      <c r="O16" s="42" t="s">
        <v>43</v>
      </c>
      <c r="P16" s="43" t="n">
        <v>45985.415462963</v>
      </c>
      <c r="Q16" s="42" t="s">
        <v>44</v>
      </c>
      <c r="R16" s="42"/>
      <c r="S16" s="43" t="n">
        <v>45985.415462963</v>
      </c>
      <c r="T16" s="42" t="s">
        <v>55</v>
      </c>
      <c r="U16" s="42" t="s">
        <v>45</v>
      </c>
      <c r="V16" s="42" t="s">
        <v>46</v>
      </c>
      <c r="W16" s="42" t="s">
        <v>47</v>
      </c>
      <c r="X16" s="42" t="s">
        <v>92</v>
      </c>
      <c r="Y16" s="44" t="n">
        <v>41.61791379</v>
      </c>
      <c r="Z16" s="44" t="n">
        <v>-93.58122406</v>
      </c>
      <c r="AA16" s="42" t="s">
        <v>88</v>
      </c>
      <c r="AB16" s="35" t="n">
        <v>38</v>
      </c>
      <c r="AC16" s="42"/>
      <c r="AD16" s="42" t="s">
        <v>50</v>
      </c>
      <c r="AE16" s="42" t="s">
        <v>51</v>
      </c>
    </row>
    <row r="17" customFormat="false" ht="56" hidden="false" customHeight="true" outlineLevel="0" collapsed="false">
      <c r="A17" s="10" t="n">
        <v>11</v>
      </c>
      <c r="B17" s="11" t="str">
        <f aca="false">HYPERLINK("https://www.google.com/maps/dir/?api=1&amp;destination=41.6200715300%2C-93.5812225800&amp;travelmode=driving&amp;dir_action=navigate","2701 Delaware Ave, Des Moines, IA")</f>
        <v>2701 Delaware Ave, Des Moines, IA</v>
      </c>
      <c r="C17" s="24"/>
      <c r="D17" s="25"/>
      <c r="E17" s="25"/>
      <c r="F17" s="26" t="s">
        <v>36</v>
      </c>
      <c r="G17" s="15" t="s">
        <v>93</v>
      </c>
      <c r="H17" s="15" t="s">
        <v>94</v>
      </c>
      <c r="I17" s="16" t="n">
        <v>2</v>
      </c>
      <c r="J17" s="17" t="str">
        <f aca="false">HYPERLINK("https://www.google.com/maps/dir/?api=1&amp;destination=41.6200715300%2C-93.5812225800&amp;travelmode=driving&amp;dir_action=navigate","GPS nav")</f>
        <v>GPS nav</v>
      </c>
      <c r="K17" s="15" t="s">
        <v>39</v>
      </c>
      <c r="L17" s="18" t="s">
        <v>40</v>
      </c>
      <c r="M17" s="18" t="s">
        <v>41</v>
      </c>
      <c r="N17" s="18" t="s">
        <v>95</v>
      </c>
      <c r="O17" s="18" t="s">
        <v>43</v>
      </c>
      <c r="P17" s="19" t="n">
        <v>45747.9591666667</v>
      </c>
      <c r="Q17" s="18" t="s">
        <v>44</v>
      </c>
      <c r="R17" s="18"/>
      <c r="S17" s="19" t="n">
        <v>45747.9591550926</v>
      </c>
      <c r="T17" s="18" t="s">
        <v>55</v>
      </c>
      <c r="U17" s="18" t="s">
        <v>45</v>
      </c>
      <c r="V17" s="18" t="s">
        <v>46</v>
      </c>
      <c r="W17" s="18" t="s">
        <v>47</v>
      </c>
      <c r="X17" s="18" t="s">
        <v>96</v>
      </c>
      <c r="Y17" s="20" t="n">
        <v>41.62007153</v>
      </c>
      <c r="Z17" s="20" t="n">
        <v>-93.58122258</v>
      </c>
      <c r="AA17" s="18" t="s">
        <v>88</v>
      </c>
      <c r="AB17" s="16" t="n">
        <v>8</v>
      </c>
      <c r="AC17" s="18"/>
      <c r="AD17" s="18" t="s">
        <v>50</v>
      </c>
      <c r="AE17" s="21" t="s">
        <v>51</v>
      </c>
    </row>
    <row r="18" customFormat="false" ht="56" hidden="false" customHeight="true" outlineLevel="0" collapsed="false">
      <c r="A18" s="22" t="n">
        <v>12</v>
      </c>
      <c r="B18" s="23" t="str">
        <f aca="false">HYPERLINK("https://www.google.com/maps/dir/?api=1&amp;destination=41.6240035700%2C-93.5812338300&amp;travelmode=driving&amp;dir_action=navigate","3123 Delaware Ave, Des Moines, IA")</f>
        <v>3123 Delaware Ave, Des Moines, IA</v>
      </c>
      <c r="C18" s="24"/>
      <c r="D18" s="25"/>
      <c r="E18" s="25"/>
      <c r="F18" s="26" t="s">
        <v>36</v>
      </c>
      <c r="G18" s="27" t="s">
        <v>97</v>
      </c>
      <c r="H18" s="27" t="s">
        <v>98</v>
      </c>
      <c r="I18" s="28" t="n">
        <v>2</v>
      </c>
      <c r="J18" s="29" t="str">
        <f aca="false">HYPERLINK("https://www.google.com/maps/dir/?api=1&amp;destination=41.6240035700%2C-93.5812338300&amp;travelmode=driving&amp;dir_action=navigate","GPS nav")</f>
        <v>GPS nav</v>
      </c>
      <c r="K18" s="27" t="s">
        <v>39</v>
      </c>
      <c r="L18" s="30" t="s">
        <v>40</v>
      </c>
      <c r="M18" s="30" t="s">
        <v>41</v>
      </c>
      <c r="N18" s="30" t="s">
        <v>99</v>
      </c>
      <c r="O18" s="30" t="s">
        <v>43</v>
      </c>
      <c r="P18" s="31" t="n">
        <v>45957.6486458333</v>
      </c>
      <c r="Q18" s="30" t="s">
        <v>44</v>
      </c>
      <c r="R18" s="30"/>
      <c r="S18" s="31" t="n">
        <v>45957.6486458333</v>
      </c>
      <c r="T18" s="30" t="s">
        <v>55</v>
      </c>
      <c r="U18" s="30" t="s">
        <v>45</v>
      </c>
      <c r="V18" s="30" t="s">
        <v>46</v>
      </c>
      <c r="W18" s="30" t="s">
        <v>47</v>
      </c>
      <c r="X18" s="30" t="s">
        <v>100</v>
      </c>
      <c r="Y18" s="32" t="n">
        <v>41.62400357</v>
      </c>
      <c r="Z18" s="32" t="n">
        <v>-93.58123383</v>
      </c>
      <c r="AA18" s="30" t="s">
        <v>88</v>
      </c>
      <c r="AB18" s="28" t="n">
        <v>27</v>
      </c>
      <c r="AC18" s="30"/>
      <c r="AD18" s="30" t="s">
        <v>50</v>
      </c>
      <c r="AE18" s="33" t="s">
        <v>51</v>
      </c>
    </row>
    <row r="19" customFormat="false" ht="56" hidden="false" customHeight="true" outlineLevel="0" collapsed="false">
      <c r="A19" s="10" t="n">
        <v>13</v>
      </c>
      <c r="B19" s="11" t="str">
        <f aca="false">HYPERLINK("https://www.google.com/maps/dir/?api=1&amp;destination=41.6277774700%2C-93.6045201600&amp;travelmode=driving&amp;dir_action=navigate","1200 E Euclid Ave, Des Moines, IA 50316")</f>
        <v>1200 E Euclid Ave, Des Moines, IA 50316</v>
      </c>
      <c r="C19" s="24"/>
      <c r="D19" s="25"/>
      <c r="E19" s="25"/>
      <c r="F19" s="26" t="s">
        <v>36</v>
      </c>
      <c r="G19" s="15" t="s">
        <v>101</v>
      </c>
      <c r="H19" s="15" t="s">
        <v>102</v>
      </c>
      <c r="I19" s="16" t="n">
        <v>2</v>
      </c>
      <c r="J19" s="17" t="str">
        <f aca="false">HYPERLINK("https://www.google.com/maps/dir/?api=1&amp;destination=41.6277774700%2C-93.6045201600&amp;travelmode=driving&amp;dir_action=navigate","GPS nav")</f>
        <v>GPS nav</v>
      </c>
      <c r="K19" s="15" t="s">
        <v>39</v>
      </c>
      <c r="L19" s="18" t="s">
        <v>40</v>
      </c>
      <c r="M19" s="18" t="s">
        <v>41</v>
      </c>
      <c r="N19" s="18" t="s">
        <v>103</v>
      </c>
      <c r="O19" s="18" t="s">
        <v>43</v>
      </c>
      <c r="P19" s="19" t="n">
        <v>46164.1128703704</v>
      </c>
      <c r="Q19" s="18" t="s">
        <v>44</v>
      </c>
      <c r="R19" s="18"/>
      <c r="S19" s="19" t="n">
        <v>46164.1128703704</v>
      </c>
      <c r="T19" s="18" t="s">
        <v>55</v>
      </c>
      <c r="U19" s="18" t="s">
        <v>45</v>
      </c>
      <c r="V19" s="18" t="s">
        <v>46</v>
      </c>
      <c r="W19" s="18" t="s">
        <v>47</v>
      </c>
      <c r="X19" s="18" t="s">
        <v>104</v>
      </c>
      <c r="Y19" s="20" t="n">
        <v>41.62777747</v>
      </c>
      <c r="Z19" s="20" t="n">
        <v>-93.60452016</v>
      </c>
      <c r="AA19" s="18" t="s">
        <v>105</v>
      </c>
      <c r="AB19" s="16" t="n">
        <v>58</v>
      </c>
      <c r="AC19" s="18"/>
      <c r="AD19" s="18" t="s">
        <v>50</v>
      </c>
      <c r="AE19" s="21" t="s">
        <v>51</v>
      </c>
    </row>
    <row r="20" customFormat="false" ht="56" hidden="false" customHeight="true" outlineLevel="0" collapsed="false">
      <c r="A20" s="22" t="n">
        <v>14</v>
      </c>
      <c r="B20" s="34" t="str">
        <f aca="false">HYPERLINK("https://www.google.com/maps/dir/?api=1&amp;destination=41.6277795600%2C-93.6047002200&amp;travelmode=driving&amp;dir_action=navigate","GPS only — East Euclid. Street address blank in source.")</f>
        <v>GPS only — East Euclid. Street address blank in source.</v>
      </c>
      <c r="C20" s="24"/>
      <c r="D20" s="25"/>
      <c r="E20" s="25"/>
      <c r="F20" s="26" t="s">
        <v>36</v>
      </c>
      <c r="G20" s="27" t="s">
        <v>106</v>
      </c>
      <c r="H20" s="27" t="s">
        <v>107</v>
      </c>
      <c r="I20" s="28" t="n">
        <v>2</v>
      </c>
      <c r="J20" s="29" t="str">
        <f aca="false">HYPERLINK("https://www.google.com/maps/dir/?api=1&amp;destination=41.6277795600%2C-93.6047002200&amp;travelmode=driving&amp;dir_action=navigate","GPS nav")</f>
        <v>GPS nav</v>
      </c>
      <c r="K20" s="27" t="s">
        <v>39</v>
      </c>
      <c r="L20" s="30" t="s">
        <v>40</v>
      </c>
      <c r="M20" s="30" t="s">
        <v>41</v>
      </c>
      <c r="N20" s="30" t="s">
        <v>108</v>
      </c>
      <c r="O20" s="30" t="s">
        <v>43</v>
      </c>
      <c r="P20" s="31" t="n">
        <v>45880.0986921296</v>
      </c>
      <c r="Q20" s="30" t="s">
        <v>44</v>
      </c>
      <c r="R20" s="30"/>
      <c r="S20" s="31" t="n">
        <v>45880.0986921296</v>
      </c>
      <c r="T20" s="30" t="s">
        <v>55</v>
      </c>
      <c r="U20" s="30" t="s">
        <v>45</v>
      </c>
      <c r="V20" s="30" t="s">
        <v>46</v>
      </c>
      <c r="W20" s="30" t="s">
        <v>47</v>
      </c>
      <c r="X20" s="30"/>
      <c r="Y20" s="32" t="n">
        <v>41.62777956</v>
      </c>
      <c r="Z20" s="32" t="n">
        <v>-93.60470022</v>
      </c>
      <c r="AA20" s="30" t="s">
        <v>105</v>
      </c>
      <c r="AB20" s="28" t="n">
        <v>12</v>
      </c>
      <c r="AC20" s="30"/>
      <c r="AD20" s="30" t="s">
        <v>50</v>
      </c>
      <c r="AE20" s="33" t="s">
        <v>51</v>
      </c>
    </row>
    <row r="21" customFormat="false" ht="56" hidden="false" customHeight="true" outlineLevel="0" collapsed="false">
      <c r="A21" s="10" t="n">
        <v>15</v>
      </c>
      <c r="B21" s="11" t="str">
        <f aca="false">HYPERLINK("https://www.google.com/maps/dir/?api=1&amp;destination=41.6277774400%2C-93.6053875000&amp;travelmode=driving&amp;dir_action=navigate","914 E Euclid Ave, Des Moines, IA")</f>
        <v>914 E Euclid Ave, Des Moines, IA</v>
      </c>
      <c r="C21" s="24"/>
      <c r="D21" s="25"/>
      <c r="E21" s="25"/>
      <c r="F21" s="26" t="s">
        <v>36</v>
      </c>
      <c r="G21" s="15" t="s">
        <v>109</v>
      </c>
      <c r="H21" s="15" t="s">
        <v>110</v>
      </c>
      <c r="I21" s="16" t="n">
        <v>2</v>
      </c>
      <c r="J21" s="17" t="str">
        <f aca="false">HYPERLINK("https://www.google.com/maps/dir/?api=1&amp;destination=41.6277774400%2C-93.6053875000&amp;travelmode=driving&amp;dir_action=navigate","GPS nav")</f>
        <v>GPS nav</v>
      </c>
      <c r="K21" s="15" t="s">
        <v>39</v>
      </c>
      <c r="L21" s="18" t="s">
        <v>40</v>
      </c>
      <c r="M21" s="18" t="s">
        <v>41</v>
      </c>
      <c r="N21" s="18" t="s">
        <v>111</v>
      </c>
      <c r="O21" s="18" t="s">
        <v>43</v>
      </c>
      <c r="P21" s="19" t="n">
        <v>45880.0984143519</v>
      </c>
      <c r="Q21" s="18" t="s">
        <v>44</v>
      </c>
      <c r="R21" s="18"/>
      <c r="S21" s="19" t="n">
        <v>45880.0984027778</v>
      </c>
      <c r="T21" s="18" t="s">
        <v>55</v>
      </c>
      <c r="U21" s="18" t="s">
        <v>45</v>
      </c>
      <c r="V21" s="18" t="s">
        <v>46</v>
      </c>
      <c r="W21" s="18" t="s">
        <v>47</v>
      </c>
      <c r="X21" s="18" t="s">
        <v>112</v>
      </c>
      <c r="Y21" s="20" t="n">
        <v>41.62777744</v>
      </c>
      <c r="Z21" s="20" t="n">
        <v>-93.6053875</v>
      </c>
      <c r="AA21" s="18" t="s">
        <v>105</v>
      </c>
      <c r="AB21" s="16" t="n">
        <v>11</v>
      </c>
      <c r="AC21" s="18"/>
      <c r="AD21" s="18" t="s">
        <v>50</v>
      </c>
      <c r="AE21" s="21" t="s">
        <v>51</v>
      </c>
    </row>
    <row r="22" customFormat="false" ht="56" hidden="false" customHeight="true" outlineLevel="0" collapsed="false">
      <c r="A22" s="22" t="n">
        <v>16</v>
      </c>
      <c r="B22" s="23" t="str">
        <f aca="false">HYPERLINK("https://www.google.com/maps/dir/?api=1&amp;destination=41.6277881500%2C-93.6072981800&amp;travelmode=driving&amp;dir_action=navigate","816 E Euclid Ave, Des Moines, IA")</f>
        <v>816 E Euclid Ave, Des Moines, IA</v>
      </c>
      <c r="C22" s="24"/>
      <c r="D22" s="25"/>
      <c r="E22" s="25"/>
      <c r="F22" s="26" t="s">
        <v>36</v>
      </c>
      <c r="G22" s="27" t="s">
        <v>113</v>
      </c>
      <c r="H22" s="27" t="s">
        <v>114</v>
      </c>
      <c r="I22" s="28" t="n">
        <v>2</v>
      </c>
      <c r="J22" s="29" t="str">
        <f aca="false">HYPERLINK("https://www.google.com/maps/dir/?api=1&amp;destination=41.6277881500%2C-93.6072981800&amp;travelmode=driving&amp;dir_action=navigate","GPS nav")</f>
        <v>GPS nav</v>
      </c>
      <c r="K22" s="27" t="s">
        <v>39</v>
      </c>
      <c r="L22" s="30" t="s">
        <v>40</v>
      </c>
      <c r="M22" s="30" t="s">
        <v>41</v>
      </c>
      <c r="N22" s="30" t="s">
        <v>115</v>
      </c>
      <c r="O22" s="30" t="s">
        <v>43</v>
      </c>
      <c r="P22" s="31" t="n">
        <v>45746.9590856481</v>
      </c>
      <c r="Q22" s="30" t="s">
        <v>44</v>
      </c>
      <c r="R22" s="30"/>
      <c r="S22" s="31" t="n">
        <v>45746.9590856481</v>
      </c>
      <c r="T22" s="30" t="s">
        <v>55</v>
      </c>
      <c r="U22" s="30" t="s">
        <v>45</v>
      </c>
      <c r="V22" s="30" t="s">
        <v>46</v>
      </c>
      <c r="W22" s="30" t="s">
        <v>47</v>
      </c>
      <c r="X22" s="30" t="s">
        <v>116</v>
      </c>
      <c r="Y22" s="32" t="n">
        <v>41.62778815</v>
      </c>
      <c r="Z22" s="32" t="n">
        <v>-93.60729818</v>
      </c>
      <c r="AA22" s="30" t="s">
        <v>105</v>
      </c>
      <c r="AB22" s="28" t="n">
        <v>7</v>
      </c>
      <c r="AC22" s="30"/>
      <c r="AD22" s="30" t="s">
        <v>50</v>
      </c>
      <c r="AE22" s="33" t="s">
        <v>51</v>
      </c>
    </row>
    <row r="23" customFormat="false" ht="56" hidden="false" customHeight="true" outlineLevel="0" collapsed="false">
      <c r="A23" s="10" t="n">
        <v>17</v>
      </c>
      <c r="B23" s="11" t="str">
        <f aca="false">HYPERLINK("https://www.google.com/maps/dir/?api=1&amp;destination=41.6276057300%2C-93.6204926600&amp;travelmode=driving&amp;dir_action=navigate","In front of 210 Euclid Ave, Des Moines, IA")</f>
        <v>In front of 210 Euclid Ave, Des Moines, IA</v>
      </c>
      <c r="C23" s="24"/>
      <c r="D23" s="25"/>
      <c r="E23" s="25"/>
      <c r="F23" s="26" t="s">
        <v>36</v>
      </c>
      <c r="G23" s="15" t="s">
        <v>117</v>
      </c>
      <c r="H23" s="15" t="s">
        <v>118</v>
      </c>
      <c r="I23" s="16" t="n">
        <v>2</v>
      </c>
      <c r="J23" s="17" t="str">
        <f aca="false">HYPERLINK("https://www.google.com/maps/dir/?api=1&amp;destination=41.6276057300%2C-93.6204926600&amp;travelmode=driving&amp;dir_action=navigate","GPS nav")</f>
        <v>GPS nav</v>
      </c>
      <c r="K23" s="15" t="s">
        <v>39</v>
      </c>
      <c r="L23" s="18" t="s">
        <v>40</v>
      </c>
      <c r="M23" s="18" t="s">
        <v>41</v>
      </c>
      <c r="N23" s="18" t="s">
        <v>119</v>
      </c>
      <c r="O23" s="18" t="s">
        <v>43</v>
      </c>
      <c r="P23" s="19" t="n">
        <v>45936.4115856482</v>
      </c>
      <c r="Q23" s="18" t="s">
        <v>44</v>
      </c>
      <c r="R23" s="18"/>
      <c r="S23" s="19" t="n">
        <v>45936.4115740741</v>
      </c>
      <c r="T23" s="18" t="s">
        <v>55</v>
      </c>
      <c r="U23" s="18" t="s">
        <v>45</v>
      </c>
      <c r="V23" s="18" t="s">
        <v>46</v>
      </c>
      <c r="W23" s="18" t="s">
        <v>47</v>
      </c>
      <c r="X23" s="18" t="s">
        <v>120</v>
      </c>
      <c r="Y23" s="20" t="n">
        <v>41.62760573</v>
      </c>
      <c r="Z23" s="20" t="n">
        <v>-93.62049266</v>
      </c>
      <c r="AA23" s="18" t="s">
        <v>121</v>
      </c>
      <c r="AB23" s="16" t="n">
        <v>19</v>
      </c>
      <c r="AC23" s="18"/>
      <c r="AD23" s="18" t="s">
        <v>50</v>
      </c>
      <c r="AE23" s="21" t="s">
        <v>51</v>
      </c>
    </row>
    <row r="24" customFormat="false" ht="56" hidden="false" customHeight="true" outlineLevel="0" collapsed="false">
      <c r="A24" s="22" t="n">
        <v>18</v>
      </c>
      <c r="B24" s="23" t="str">
        <f aca="false">HYPERLINK("https://www.google.com/maps/dir/?api=1&amp;destination=41.6276102000%2C-93.6208609900&amp;travelmode=driving&amp;dir_action=navigate","222 Euclid Ave, Des Moines, IA")</f>
        <v>222 Euclid Ave, Des Moines, IA</v>
      </c>
      <c r="C24" s="24"/>
      <c r="D24" s="25"/>
      <c r="E24" s="25"/>
      <c r="F24" s="26" t="s">
        <v>36</v>
      </c>
      <c r="G24" s="27" t="s">
        <v>122</v>
      </c>
      <c r="H24" s="27" t="s">
        <v>123</v>
      </c>
      <c r="I24" s="28" t="n">
        <v>2</v>
      </c>
      <c r="J24" s="29" t="str">
        <f aca="false">HYPERLINK("https://www.google.com/maps/dir/?api=1&amp;destination=41.6276102000%2C-93.6208609900&amp;travelmode=driving&amp;dir_action=navigate","GPS nav")</f>
        <v>GPS nav</v>
      </c>
      <c r="K24" s="27" t="s">
        <v>39</v>
      </c>
      <c r="L24" s="30" t="s">
        <v>40</v>
      </c>
      <c r="M24" s="30" t="s">
        <v>41</v>
      </c>
      <c r="N24" s="30" t="s">
        <v>124</v>
      </c>
      <c r="O24" s="30" t="s">
        <v>43</v>
      </c>
      <c r="P24" s="31" t="n">
        <v>45936.4039467593</v>
      </c>
      <c r="Q24" s="30" t="s">
        <v>44</v>
      </c>
      <c r="R24" s="30"/>
      <c r="S24" s="31" t="n">
        <v>45936.4039467593</v>
      </c>
      <c r="T24" s="30" t="s">
        <v>55</v>
      </c>
      <c r="U24" s="30" t="s">
        <v>45</v>
      </c>
      <c r="V24" s="30" t="s">
        <v>46</v>
      </c>
      <c r="W24" s="30" t="s">
        <v>47</v>
      </c>
      <c r="X24" s="30" t="s">
        <v>125</v>
      </c>
      <c r="Y24" s="32" t="n">
        <v>41.6276102</v>
      </c>
      <c r="Z24" s="32" t="n">
        <v>-93.62086099</v>
      </c>
      <c r="AA24" s="30" t="s">
        <v>121</v>
      </c>
      <c r="AB24" s="28" t="n">
        <v>15</v>
      </c>
      <c r="AC24" s="30"/>
      <c r="AD24" s="30" t="s">
        <v>50</v>
      </c>
      <c r="AE24" s="33" t="s">
        <v>51</v>
      </c>
    </row>
    <row r="25" customFormat="false" ht="56" hidden="false" customHeight="true" outlineLevel="0" collapsed="false">
      <c r="A25" s="45" t="n">
        <v>19</v>
      </c>
      <c r="B25" s="46" t="str">
        <f aca="false">HYPERLINK("https://www.google.com/maps/dir/?api=1&amp;destination=41.6276035100%2C-93.6223865200&amp;travelmode=driving&amp;dir_action=navigate","400 Euclid Ave, Des Moines, IA")</f>
        <v>400 Euclid Ave, Des Moines, IA</v>
      </c>
      <c r="C25" s="37"/>
      <c r="D25" s="38"/>
      <c r="E25" s="38"/>
      <c r="F25" s="39" t="s">
        <v>36</v>
      </c>
      <c r="G25" s="47" t="s">
        <v>126</v>
      </c>
      <c r="H25" s="47" t="s">
        <v>127</v>
      </c>
      <c r="I25" s="45" t="n">
        <v>3</v>
      </c>
      <c r="J25" s="48" t="str">
        <f aca="false">HYPERLINK("https://www.google.com/maps/dir/?api=1&amp;destination=41.6276035100%2C-93.6223865200&amp;travelmode=driving&amp;dir_action=navigate","GPS nav")</f>
        <v>GPS nav</v>
      </c>
      <c r="K25" s="47" t="s">
        <v>39</v>
      </c>
      <c r="L25" s="49" t="s">
        <v>40</v>
      </c>
      <c r="M25" s="49" t="s">
        <v>41</v>
      </c>
      <c r="N25" s="49" t="s">
        <v>128</v>
      </c>
      <c r="O25" s="49" t="s">
        <v>43</v>
      </c>
      <c r="P25" s="50" t="n">
        <v>45936.3987384259</v>
      </c>
      <c r="Q25" s="49" t="s">
        <v>44</v>
      </c>
      <c r="R25" s="49"/>
      <c r="S25" s="50" t="n">
        <v>45936.3987268519</v>
      </c>
      <c r="T25" s="49" t="s">
        <v>55</v>
      </c>
      <c r="U25" s="49" t="s">
        <v>45</v>
      </c>
      <c r="V25" s="49" t="s">
        <v>46</v>
      </c>
      <c r="W25" s="49" t="s">
        <v>47</v>
      </c>
      <c r="X25" s="49" t="s">
        <v>129</v>
      </c>
      <c r="Y25" s="51" t="n">
        <v>41.62760351</v>
      </c>
      <c r="Z25" s="51" t="n">
        <v>-93.62238652</v>
      </c>
      <c r="AA25" s="49" t="s">
        <v>121</v>
      </c>
      <c r="AB25" s="45" t="n">
        <v>14</v>
      </c>
      <c r="AC25" s="49"/>
      <c r="AD25" s="49" t="s">
        <v>50</v>
      </c>
      <c r="AE25" s="49" t="s">
        <v>51</v>
      </c>
    </row>
    <row r="26" customFormat="false" ht="56" hidden="false" customHeight="true" outlineLevel="0" collapsed="false">
      <c r="A26" s="22" t="n">
        <v>20</v>
      </c>
      <c r="B26" s="23" t="str">
        <f aca="false">HYPERLINK("https://www.google.com/maps/dir/?api=1&amp;destination=41.6276026300%2C-93.6232144400&amp;travelmode=driving&amp;dir_action=navigate","412 Euclid Ave, Des Moines, IA")</f>
        <v>412 Euclid Ave, Des Moines, IA</v>
      </c>
      <c r="C26" s="24"/>
      <c r="D26" s="25"/>
      <c r="E26" s="25"/>
      <c r="F26" s="26" t="s">
        <v>36</v>
      </c>
      <c r="G26" s="27" t="s">
        <v>130</v>
      </c>
      <c r="H26" s="27" t="s">
        <v>131</v>
      </c>
      <c r="I26" s="28" t="n">
        <v>3</v>
      </c>
      <c r="J26" s="29" t="str">
        <f aca="false">HYPERLINK("https://www.google.com/maps/dir/?api=1&amp;destination=41.6276026300%2C-93.6232144400&amp;travelmode=driving&amp;dir_action=navigate","GPS nav")</f>
        <v>GPS nav</v>
      </c>
      <c r="K26" s="27" t="s">
        <v>39</v>
      </c>
      <c r="L26" s="30" t="s">
        <v>40</v>
      </c>
      <c r="M26" s="30" t="s">
        <v>41</v>
      </c>
      <c r="N26" s="30" t="s">
        <v>132</v>
      </c>
      <c r="O26" s="30" t="s">
        <v>43</v>
      </c>
      <c r="P26" s="31" t="n">
        <v>45936.404837963</v>
      </c>
      <c r="Q26" s="30" t="s">
        <v>44</v>
      </c>
      <c r="R26" s="30"/>
      <c r="S26" s="31" t="n">
        <v>45936.404837963</v>
      </c>
      <c r="T26" s="30" t="s">
        <v>55</v>
      </c>
      <c r="U26" s="30" t="s">
        <v>45</v>
      </c>
      <c r="V26" s="30" t="s">
        <v>46</v>
      </c>
      <c r="W26" s="30" t="s">
        <v>47</v>
      </c>
      <c r="X26" s="30" t="s">
        <v>133</v>
      </c>
      <c r="Y26" s="32" t="n">
        <v>41.62760263</v>
      </c>
      <c r="Z26" s="32" t="n">
        <v>-93.62321444</v>
      </c>
      <c r="AA26" s="30" t="s">
        <v>121</v>
      </c>
      <c r="AB26" s="28" t="n">
        <v>16</v>
      </c>
      <c r="AC26" s="30"/>
      <c r="AD26" s="30" t="s">
        <v>50</v>
      </c>
      <c r="AE26" s="33" t="s">
        <v>51</v>
      </c>
    </row>
    <row r="27" customFormat="false" ht="56" hidden="false" customHeight="true" outlineLevel="0" collapsed="false">
      <c r="A27" s="10" t="n">
        <v>21</v>
      </c>
      <c r="B27" s="11" t="str">
        <f aca="false">HYPERLINK("https://www.google.com/maps/dir/?api=1&amp;destination=41.6275942800%2C-93.6240962700&amp;travelmode=driving&amp;dir_action=navigate","515 Euclid Ave, Des Moines, IA")</f>
        <v>515 Euclid Ave, Des Moines, IA</v>
      </c>
      <c r="C27" s="24"/>
      <c r="D27" s="25"/>
      <c r="E27" s="25"/>
      <c r="F27" s="26" t="s">
        <v>36</v>
      </c>
      <c r="G27" s="15" t="s">
        <v>134</v>
      </c>
      <c r="H27" s="15" t="s">
        <v>135</v>
      </c>
      <c r="I27" s="16" t="n">
        <v>3</v>
      </c>
      <c r="J27" s="17" t="str">
        <f aca="false">HYPERLINK("https://www.google.com/maps/dir/?api=1&amp;destination=41.6275942800%2C-93.6240962700&amp;travelmode=driving&amp;dir_action=navigate","GPS nav")</f>
        <v>GPS nav</v>
      </c>
      <c r="K27" s="15" t="s">
        <v>39</v>
      </c>
      <c r="L27" s="18" t="s">
        <v>40</v>
      </c>
      <c r="M27" s="18" t="s">
        <v>41</v>
      </c>
      <c r="N27" s="18" t="s">
        <v>136</v>
      </c>
      <c r="O27" s="18" t="s">
        <v>43</v>
      </c>
      <c r="P27" s="19" t="n">
        <v>45936.4072106482</v>
      </c>
      <c r="Q27" s="18" t="s">
        <v>44</v>
      </c>
      <c r="R27" s="18"/>
      <c r="S27" s="19" t="n">
        <v>45936.4071990741</v>
      </c>
      <c r="T27" s="18" t="s">
        <v>55</v>
      </c>
      <c r="U27" s="18" t="s">
        <v>45</v>
      </c>
      <c r="V27" s="18" t="s">
        <v>46</v>
      </c>
      <c r="W27" s="18" t="s">
        <v>47</v>
      </c>
      <c r="X27" s="18" t="s">
        <v>137</v>
      </c>
      <c r="Y27" s="20" t="n">
        <v>41.62759428</v>
      </c>
      <c r="Z27" s="20" t="n">
        <v>-93.62409627</v>
      </c>
      <c r="AA27" s="18" t="s">
        <v>121</v>
      </c>
      <c r="AB27" s="16" t="n">
        <v>17</v>
      </c>
      <c r="AC27" s="18"/>
      <c r="AD27" s="18" t="s">
        <v>50</v>
      </c>
      <c r="AE27" s="21" t="s">
        <v>51</v>
      </c>
    </row>
    <row r="28" customFormat="false" ht="56" hidden="false" customHeight="true" outlineLevel="0" collapsed="false">
      <c r="A28" s="22" t="n">
        <v>22</v>
      </c>
      <c r="B28" s="23" t="str">
        <f aca="false">HYPERLINK("https://www.google.com/maps/dir/?api=1&amp;destination=41.6275974900%2C-93.6264145000&amp;travelmode=driving&amp;dir_action=navigate","702 Euclid Ave, Des Moines, IA")</f>
        <v>702 Euclid Ave, Des Moines, IA</v>
      </c>
      <c r="C28" s="24"/>
      <c r="D28" s="25"/>
      <c r="E28" s="25"/>
      <c r="F28" s="26" t="s">
        <v>36</v>
      </c>
      <c r="G28" s="27" t="s">
        <v>138</v>
      </c>
      <c r="H28" s="27" t="s">
        <v>139</v>
      </c>
      <c r="I28" s="28" t="n">
        <v>3</v>
      </c>
      <c r="J28" s="29" t="str">
        <f aca="false">HYPERLINK("https://www.google.com/maps/dir/?api=1&amp;destination=41.6275974900%2C-93.6264145000&amp;travelmode=driving&amp;dir_action=navigate","GPS nav")</f>
        <v>GPS nav</v>
      </c>
      <c r="K28" s="27" t="s">
        <v>39</v>
      </c>
      <c r="L28" s="30" t="s">
        <v>40</v>
      </c>
      <c r="M28" s="30" t="s">
        <v>41</v>
      </c>
      <c r="N28" s="30" t="s">
        <v>140</v>
      </c>
      <c r="O28" s="30" t="s">
        <v>43</v>
      </c>
      <c r="P28" s="31" t="n">
        <v>45764.9592824074</v>
      </c>
      <c r="Q28" s="30" t="s">
        <v>44</v>
      </c>
      <c r="R28" s="30"/>
      <c r="S28" s="31" t="n">
        <v>45764.9592708333</v>
      </c>
      <c r="T28" s="30" t="s">
        <v>55</v>
      </c>
      <c r="U28" s="30" t="s">
        <v>45</v>
      </c>
      <c r="V28" s="30" t="s">
        <v>46</v>
      </c>
      <c r="W28" s="30" t="s">
        <v>47</v>
      </c>
      <c r="X28" s="30" t="s">
        <v>141</v>
      </c>
      <c r="Y28" s="32" t="n">
        <v>41.62759749</v>
      </c>
      <c r="Z28" s="32" t="n">
        <v>-93.6264145</v>
      </c>
      <c r="AA28" s="30" t="s">
        <v>121</v>
      </c>
      <c r="AB28" s="28" t="n">
        <v>10</v>
      </c>
      <c r="AC28" s="30"/>
      <c r="AD28" s="30" t="s">
        <v>50</v>
      </c>
      <c r="AE28" s="33" t="s">
        <v>51</v>
      </c>
    </row>
    <row r="29" customFormat="false" ht="56" hidden="false" customHeight="true" outlineLevel="0" collapsed="false">
      <c r="A29" s="10" t="n">
        <v>23</v>
      </c>
      <c r="B29" s="11" t="str">
        <f aca="false">HYPERLINK("https://www.google.com/maps/dir/?api=1&amp;destination=41.6292040100%2C-93.6561822000&amp;travelmode=driving&amp;dir_action=navigate","2831 Douglas Ave, Des Moines, IA")</f>
        <v>2831 Douglas Ave, Des Moines, IA</v>
      </c>
      <c r="C29" s="24"/>
      <c r="D29" s="25"/>
      <c r="E29" s="25"/>
      <c r="F29" s="26" t="s">
        <v>36</v>
      </c>
      <c r="G29" s="15" t="s">
        <v>142</v>
      </c>
      <c r="H29" s="15" t="s">
        <v>143</v>
      </c>
      <c r="I29" s="16" t="n">
        <v>3</v>
      </c>
      <c r="J29" s="17" t="str">
        <f aca="false">HYPERLINK("https://www.google.com/maps/dir/?api=1&amp;destination=41.6292040100%2C-93.6561822000&amp;travelmode=driving&amp;dir_action=navigate","GPS nav")</f>
        <v>GPS nav</v>
      </c>
      <c r="K29" s="15" t="s">
        <v>39</v>
      </c>
      <c r="L29" s="18" t="s">
        <v>40</v>
      </c>
      <c r="M29" s="18" t="s">
        <v>41</v>
      </c>
      <c r="N29" s="18" t="s">
        <v>144</v>
      </c>
      <c r="O29" s="18" t="s">
        <v>43</v>
      </c>
      <c r="P29" s="19" t="n">
        <v>45957.7179050926</v>
      </c>
      <c r="Q29" s="18" t="s">
        <v>44</v>
      </c>
      <c r="R29" s="18"/>
      <c r="S29" s="19" t="n">
        <v>45957.7179050926</v>
      </c>
      <c r="T29" s="18" t="s">
        <v>55</v>
      </c>
      <c r="U29" s="18" t="s">
        <v>45</v>
      </c>
      <c r="V29" s="18" t="s">
        <v>46</v>
      </c>
      <c r="W29" s="18" t="s">
        <v>47</v>
      </c>
      <c r="X29" s="18" t="s">
        <v>145</v>
      </c>
      <c r="Y29" s="20" t="n">
        <v>41.62920401</v>
      </c>
      <c r="Z29" s="20" t="n">
        <v>-93.6561822</v>
      </c>
      <c r="AA29" s="18" t="s">
        <v>146</v>
      </c>
      <c r="AB29" s="16" t="n">
        <v>31</v>
      </c>
      <c r="AC29" s="18"/>
      <c r="AD29" s="18" t="s">
        <v>50</v>
      </c>
      <c r="AE29" s="21" t="s">
        <v>51</v>
      </c>
    </row>
    <row r="30" customFormat="false" ht="56" hidden="false" customHeight="true" outlineLevel="0" collapsed="false">
      <c r="A30" s="22" t="n">
        <v>24</v>
      </c>
      <c r="B30" s="34" t="str">
        <f aca="false">HYPERLINK("https://www.google.com/maps/dir/?api=1&amp;destination=41.6293046500%2C-93.6565336200&amp;travelmode=driving&amp;dir_action=navigate","GPS only — Douglas Avenue. Street address blank in source.")</f>
        <v>GPS only — Douglas Avenue. Street address blank in source.</v>
      </c>
      <c r="C30" s="24"/>
      <c r="D30" s="25"/>
      <c r="E30" s="25"/>
      <c r="F30" s="26" t="s">
        <v>36</v>
      </c>
      <c r="G30" s="27" t="s">
        <v>147</v>
      </c>
      <c r="H30" s="27" t="s">
        <v>148</v>
      </c>
      <c r="I30" s="28" t="n">
        <v>3</v>
      </c>
      <c r="J30" s="29" t="str">
        <f aca="false">HYPERLINK("https://www.google.com/maps/dir/?api=1&amp;destination=41.6293046500%2C-93.6565336200&amp;travelmode=driving&amp;dir_action=navigate","GPS nav")</f>
        <v>GPS nav</v>
      </c>
      <c r="K30" s="27" t="s">
        <v>39</v>
      </c>
      <c r="L30" s="30" t="s">
        <v>40</v>
      </c>
      <c r="M30" s="30" t="s">
        <v>41</v>
      </c>
      <c r="N30" s="30" t="s">
        <v>149</v>
      </c>
      <c r="O30" s="30" t="s">
        <v>43</v>
      </c>
      <c r="P30" s="31" t="n">
        <v>45957.7075694444</v>
      </c>
      <c r="Q30" s="30" t="s">
        <v>44</v>
      </c>
      <c r="R30" s="30"/>
      <c r="S30" s="31" t="n">
        <v>45957.7075578704</v>
      </c>
      <c r="T30" s="30" t="s">
        <v>55</v>
      </c>
      <c r="U30" s="30" t="s">
        <v>45</v>
      </c>
      <c r="V30" s="30" t="s">
        <v>46</v>
      </c>
      <c r="W30" s="30" t="s">
        <v>47</v>
      </c>
      <c r="X30" s="30"/>
      <c r="Y30" s="32" t="n">
        <v>41.62930465</v>
      </c>
      <c r="Z30" s="32" t="n">
        <v>-93.65653362</v>
      </c>
      <c r="AA30" s="30" t="s">
        <v>146</v>
      </c>
      <c r="AB30" s="28" t="n">
        <v>30</v>
      </c>
      <c r="AC30" s="30"/>
      <c r="AD30" s="30" t="s">
        <v>50</v>
      </c>
      <c r="AE30" s="33" t="s">
        <v>51</v>
      </c>
    </row>
    <row r="31" customFormat="false" ht="56" hidden="false" customHeight="true" outlineLevel="0" collapsed="false">
      <c r="A31" s="10" t="n">
        <v>25</v>
      </c>
      <c r="B31" s="11" t="str">
        <f aca="false">HYPERLINK("https://www.google.com/maps/dir/?api=1&amp;destination=41.6408569500%2C-93.6689065700&amp;travelmode=driving&amp;dir_action=navigate","3800 Lindlavista Way, Des Moines, IA")</f>
        <v>3800 Lindlavista Way, Des Moines, IA</v>
      </c>
      <c r="C31" s="24"/>
      <c r="D31" s="25"/>
      <c r="E31" s="25"/>
      <c r="F31" s="26" t="s">
        <v>36</v>
      </c>
      <c r="G31" s="15" t="s">
        <v>150</v>
      </c>
      <c r="H31" s="15" t="s">
        <v>151</v>
      </c>
      <c r="I31" s="16" t="n">
        <v>3</v>
      </c>
      <c r="J31" s="17" t="str">
        <f aca="false">HYPERLINK("https://www.google.com/maps/dir/?api=1&amp;destination=41.6408569500%2C-93.6689065700&amp;travelmode=driving&amp;dir_action=navigate","GPS nav")</f>
        <v>GPS nav</v>
      </c>
      <c r="K31" s="15" t="s">
        <v>39</v>
      </c>
      <c r="L31" s="18" t="s">
        <v>40</v>
      </c>
      <c r="M31" s="18" t="s">
        <v>41</v>
      </c>
      <c r="N31" s="18" t="s">
        <v>152</v>
      </c>
      <c r="O31" s="18" t="s">
        <v>43</v>
      </c>
      <c r="P31" s="19" t="n">
        <v>46041.3733564815</v>
      </c>
      <c r="Q31" s="18" t="s">
        <v>44</v>
      </c>
      <c r="R31" s="18"/>
      <c r="S31" s="19" t="n">
        <v>46041.3733564815</v>
      </c>
      <c r="T31" s="18" t="s">
        <v>55</v>
      </c>
      <c r="U31" s="18" t="s">
        <v>45</v>
      </c>
      <c r="V31" s="18" t="s">
        <v>46</v>
      </c>
      <c r="W31" s="18" t="s">
        <v>47</v>
      </c>
      <c r="X31" s="18" t="s">
        <v>153</v>
      </c>
      <c r="Y31" s="20" t="n">
        <v>41.64085695</v>
      </c>
      <c r="Z31" s="20" t="n">
        <v>-93.66890657</v>
      </c>
      <c r="AA31" s="18" t="s">
        <v>154</v>
      </c>
      <c r="AB31" s="16" t="n">
        <v>42</v>
      </c>
      <c r="AC31" s="18"/>
      <c r="AD31" s="18" t="s">
        <v>50</v>
      </c>
      <c r="AE31" s="21" t="s">
        <v>51</v>
      </c>
    </row>
    <row r="32" customFormat="false" ht="56" hidden="false" customHeight="true" outlineLevel="0" collapsed="false">
      <c r="A32" s="22" t="n">
        <v>26</v>
      </c>
      <c r="B32" s="23" t="str">
        <f aca="false">HYPERLINK("https://www.google.com/maps/dir/?api=1&amp;destination=41.6293910000%2C-93.6850066500&amp;travelmode=driving&amp;dir_action=navigate","In front of 4800 Douglas Ave, Des Moines, IA")</f>
        <v>In front of 4800 Douglas Ave, Des Moines, IA</v>
      </c>
      <c r="C32" s="24"/>
      <c r="D32" s="25"/>
      <c r="E32" s="25"/>
      <c r="F32" s="26" t="s">
        <v>36</v>
      </c>
      <c r="G32" s="27" t="s">
        <v>155</v>
      </c>
      <c r="H32" s="27" t="s">
        <v>156</v>
      </c>
      <c r="I32" s="28" t="n">
        <v>3</v>
      </c>
      <c r="J32" s="29" t="str">
        <f aca="false">HYPERLINK("https://www.google.com/maps/dir/?api=1&amp;destination=41.6293910000%2C-93.6850066500&amp;travelmode=driving&amp;dir_action=navigate","GPS nav")</f>
        <v>GPS nav</v>
      </c>
      <c r="K32" s="27" t="s">
        <v>39</v>
      </c>
      <c r="L32" s="30" t="s">
        <v>40</v>
      </c>
      <c r="M32" s="30" t="s">
        <v>41</v>
      </c>
      <c r="N32" s="30" t="s">
        <v>157</v>
      </c>
      <c r="O32" s="30" t="s">
        <v>43</v>
      </c>
      <c r="P32" s="31" t="n">
        <v>45957.6641203704</v>
      </c>
      <c r="Q32" s="30" t="s">
        <v>44</v>
      </c>
      <c r="R32" s="30"/>
      <c r="S32" s="31" t="n">
        <v>45957.6641087963</v>
      </c>
      <c r="T32" s="30" t="s">
        <v>55</v>
      </c>
      <c r="U32" s="30" t="s">
        <v>45</v>
      </c>
      <c r="V32" s="30" t="s">
        <v>46</v>
      </c>
      <c r="W32" s="30" t="s">
        <v>47</v>
      </c>
      <c r="X32" s="30" t="s">
        <v>158</v>
      </c>
      <c r="Y32" s="32" t="n">
        <v>41.629391</v>
      </c>
      <c r="Z32" s="32" t="n">
        <v>-93.68500665</v>
      </c>
      <c r="AA32" s="30" t="s">
        <v>146</v>
      </c>
      <c r="AB32" s="28" t="n">
        <v>28</v>
      </c>
      <c r="AC32" s="30"/>
      <c r="AD32" s="30" t="s">
        <v>50</v>
      </c>
      <c r="AE32" s="33" t="s">
        <v>51</v>
      </c>
    </row>
    <row r="33" customFormat="false" ht="56" hidden="false" customHeight="true" outlineLevel="0" collapsed="false">
      <c r="A33" s="10" t="n">
        <v>27</v>
      </c>
      <c r="B33" s="11" t="str">
        <f aca="false">HYPERLINK("https://www.google.com/maps/dir/?api=1&amp;destination=41.6004488500%2C-93.6814518900&amp;travelmode=driving&amp;dir_action=navigate","4701 University Ave, Des Moines, IA")</f>
        <v>4701 University Ave, Des Moines, IA</v>
      </c>
      <c r="C33" s="24"/>
      <c r="D33" s="25"/>
      <c r="E33" s="25"/>
      <c r="F33" s="26" t="s">
        <v>36</v>
      </c>
      <c r="G33" s="15" t="s">
        <v>159</v>
      </c>
      <c r="H33" s="15" t="s">
        <v>160</v>
      </c>
      <c r="I33" s="16" t="n">
        <v>3</v>
      </c>
      <c r="J33" s="17" t="str">
        <f aca="false">HYPERLINK("https://www.google.com/maps/dir/?api=1&amp;destination=41.6004488500%2C-93.6814518900&amp;travelmode=driving&amp;dir_action=navigate","GPS nav")</f>
        <v>GPS nav</v>
      </c>
      <c r="K33" s="15" t="s">
        <v>39</v>
      </c>
      <c r="L33" s="18" t="s">
        <v>40</v>
      </c>
      <c r="M33" s="18" t="s">
        <v>41</v>
      </c>
      <c r="N33" s="18" t="s">
        <v>161</v>
      </c>
      <c r="O33" s="18" t="s">
        <v>43</v>
      </c>
      <c r="P33" s="19" t="n">
        <v>45957.7361921296</v>
      </c>
      <c r="Q33" s="18" t="s">
        <v>44</v>
      </c>
      <c r="R33" s="18"/>
      <c r="S33" s="19" t="n">
        <v>45957.7361921296</v>
      </c>
      <c r="T33" s="18" t="s">
        <v>55</v>
      </c>
      <c r="U33" s="18" t="s">
        <v>45</v>
      </c>
      <c r="V33" s="18" t="s">
        <v>46</v>
      </c>
      <c r="W33" s="18" t="s">
        <v>47</v>
      </c>
      <c r="X33" s="18" t="s">
        <v>162</v>
      </c>
      <c r="Y33" s="20" t="n">
        <v>41.60044885</v>
      </c>
      <c r="Z33" s="20" t="n">
        <v>-93.68145189</v>
      </c>
      <c r="AA33" s="18" t="s">
        <v>163</v>
      </c>
      <c r="AB33" s="16" t="n">
        <v>33</v>
      </c>
      <c r="AC33" s="18"/>
      <c r="AD33" s="18" t="s">
        <v>50</v>
      </c>
      <c r="AE33" s="21" t="s">
        <v>51</v>
      </c>
    </row>
    <row r="34" customFormat="false" ht="56" hidden="false" customHeight="true" outlineLevel="0" collapsed="false">
      <c r="A34" s="35" t="n">
        <v>28</v>
      </c>
      <c r="B34" s="36" t="str">
        <f aca="false">HYPERLINK("https://www.google.com/maps/dir/?api=1&amp;destination=41.6004373400%2C-93.6738920200&amp;travelmode=driving&amp;dir_action=navigate","4123 University Ave, Des Moines, IA")</f>
        <v>4123 University Ave, Des Moines, IA</v>
      </c>
      <c r="C34" s="37"/>
      <c r="D34" s="38"/>
      <c r="E34" s="38"/>
      <c r="F34" s="39" t="s">
        <v>36</v>
      </c>
      <c r="G34" s="40" t="s">
        <v>164</v>
      </c>
      <c r="H34" s="40" t="s">
        <v>165</v>
      </c>
      <c r="I34" s="35" t="n">
        <v>4</v>
      </c>
      <c r="J34" s="41" t="str">
        <f aca="false">HYPERLINK("https://www.google.com/maps/dir/?api=1&amp;destination=41.6004373400%2C-93.6738920200&amp;travelmode=driving&amp;dir_action=navigate","GPS nav")</f>
        <v>GPS nav</v>
      </c>
      <c r="K34" s="40" t="s">
        <v>39</v>
      </c>
      <c r="L34" s="42" t="s">
        <v>40</v>
      </c>
      <c r="M34" s="42" t="s">
        <v>41</v>
      </c>
      <c r="N34" s="42" t="s">
        <v>166</v>
      </c>
      <c r="O34" s="42" t="s">
        <v>43</v>
      </c>
      <c r="P34" s="43" t="n">
        <v>45957.5960069444</v>
      </c>
      <c r="Q34" s="42" t="s">
        <v>44</v>
      </c>
      <c r="R34" s="42"/>
      <c r="S34" s="43" t="n">
        <v>45957.5959953704</v>
      </c>
      <c r="T34" s="42" t="s">
        <v>55</v>
      </c>
      <c r="U34" s="42" t="s">
        <v>45</v>
      </c>
      <c r="V34" s="42" t="s">
        <v>46</v>
      </c>
      <c r="W34" s="42" t="s">
        <v>47</v>
      </c>
      <c r="X34" s="42" t="s">
        <v>167</v>
      </c>
      <c r="Y34" s="44" t="n">
        <v>41.60043734</v>
      </c>
      <c r="Z34" s="44" t="n">
        <v>-93.67389202</v>
      </c>
      <c r="AA34" s="42" t="s">
        <v>163</v>
      </c>
      <c r="AB34" s="35" t="n">
        <v>23</v>
      </c>
      <c r="AC34" s="42"/>
      <c r="AD34" s="42" t="s">
        <v>50</v>
      </c>
      <c r="AE34" s="42" t="s">
        <v>51</v>
      </c>
    </row>
    <row r="35" customFormat="false" ht="56" hidden="false" customHeight="true" outlineLevel="0" collapsed="false">
      <c r="A35" s="10" t="n">
        <v>29</v>
      </c>
      <c r="B35" s="11" t="str">
        <f aca="false">HYPERLINK("https://www.google.com/maps/dir/?api=1&amp;destination=41.6004252900%2C-93.6732772900&amp;travelmode=driving&amp;dir_action=navigate","1 span west of NW corner, 41st St &amp; University Ave, Des Moines, IA")</f>
        <v>1 span west of NW corner, 41st St &amp; University Ave, Des Moines, IA</v>
      </c>
      <c r="C35" s="24"/>
      <c r="D35" s="25"/>
      <c r="E35" s="25"/>
      <c r="F35" s="26" t="s">
        <v>36</v>
      </c>
      <c r="G35" s="15" t="s">
        <v>168</v>
      </c>
      <c r="H35" s="15" t="s">
        <v>169</v>
      </c>
      <c r="I35" s="16" t="n">
        <v>4</v>
      </c>
      <c r="J35" s="17" t="str">
        <f aca="false">HYPERLINK("https://www.google.com/maps/dir/?api=1&amp;destination=41.6004252900%2C-93.6732772900&amp;travelmode=driving&amp;dir_action=navigate","GPS nav")</f>
        <v>GPS nav</v>
      </c>
      <c r="K35" s="15" t="s">
        <v>39</v>
      </c>
      <c r="L35" s="18" t="s">
        <v>40</v>
      </c>
      <c r="M35" s="18" t="s">
        <v>41</v>
      </c>
      <c r="N35" s="18" t="s">
        <v>170</v>
      </c>
      <c r="O35" s="18" t="s">
        <v>43</v>
      </c>
      <c r="P35" s="19" t="n">
        <v>45957.7378587963</v>
      </c>
      <c r="Q35" s="18" t="s">
        <v>44</v>
      </c>
      <c r="R35" s="18"/>
      <c r="S35" s="19" t="n">
        <v>45957.7378472222</v>
      </c>
      <c r="T35" s="18" t="s">
        <v>55</v>
      </c>
      <c r="U35" s="18" t="s">
        <v>45</v>
      </c>
      <c r="V35" s="18" t="s">
        <v>46</v>
      </c>
      <c r="W35" s="18" t="s">
        <v>47</v>
      </c>
      <c r="X35" s="18" t="s">
        <v>171</v>
      </c>
      <c r="Y35" s="20" t="n">
        <v>41.60042529</v>
      </c>
      <c r="Z35" s="20" t="n">
        <v>-93.67327729</v>
      </c>
      <c r="AA35" s="18" t="s">
        <v>163</v>
      </c>
      <c r="AB35" s="16" t="n">
        <v>34</v>
      </c>
      <c r="AC35" s="18"/>
      <c r="AD35" s="18" t="s">
        <v>50</v>
      </c>
      <c r="AE35" s="21" t="s">
        <v>51</v>
      </c>
    </row>
    <row r="36" customFormat="false" ht="56" hidden="false" customHeight="true" outlineLevel="0" collapsed="false">
      <c r="A36" s="22" t="n">
        <v>30</v>
      </c>
      <c r="B36" s="23" t="str">
        <f aca="false">HYPERLINK("https://www.google.com/maps/dir/?api=1&amp;destination=41.6004186600%2C-93.6730167700&amp;travelmode=driving&amp;dir_action=navigate","4027 University Ave, Des Moines, IA")</f>
        <v>4027 University Ave, Des Moines, IA</v>
      </c>
      <c r="C36" s="24"/>
      <c r="D36" s="25"/>
      <c r="E36" s="25"/>
      <c r="F36" s="26" t="s">
        <v>36</v>
      </c>
      <c r="G36" s="27" t="s">
        <v>172</v>
      </c>
      <c r="H36" s="27" t="s">
        <v>173</v>
      </c>
      <c r="I36" s="28" t="n">
        <v>4</v>
      </c>
      <c r="J36" s="29" t="str">
        <f aca="false">HYPERLINK("https://www.google.com/maps/dir/?api=1&amp;destination=41.6004186600%2C-93.6730167700&amp;travelmode=driving&amp;dir_action=navigate","GPS nav")</f>
        <v>GPS nav</v>
      </c>
      <c r="K36" s="27" t="s">
        <v>39</v>
      </c>
      <c r="L36" s="30" t="s">
        <v>40</v>
      </c>
      <c r="M36" s="30" t="s">
        <v>41</v>
      </c>
      <c r="N36" s="30" t="s">
        <v>174</v>
      </c>
      <c r="O36" s="30" t="s">
        <v>43</v>
      </c>
      <c r="P36" s="31" t="n">
        <v>46112.0623611111</v>
      </c>
      <c r="Q36" s="30" t="s">
        <v>44</v>
      </c>
      <c r="R36" s="30"/>
      <c r="S36" s="31" t="n">
        <v>46112.062349537</v>
      </c>
      <c r="T36" s="30" t="s">
        <v>55</v>
      </c>
      <c r="U36" s="30" t="s">
        <v>45</v>
      </c>
      <c r="V36" s="30" t="s">
        <v>46</v>
      </c>
      <c r="W36" s="30" t="s">
        <v>47</v>
      </c>
      <c r="X36" s="30" t="s">
        <v>175</v>
      </c>
      <c r="Y36" s="32" t="n">
        <v>41.60041866</v>
      </c>
      <c r="Z36" s="32" t="n">
        <v>-93.67301677</v>
      </c>
      <c r="AA36" s="30" t="s">
        <v>163</v>
      </c>
      <c r="AB36" s="28" t="n">
        <v>47</v>
      </c>
      <c r="AC36" s="30"/>
      <c r="AD36" s="30" t="s">
        <v>50</v>
      </c>
      <c r="AE36" s="33" t="s">
        <v>51</v>
      </c>
    </row>
    <row r="37" customFormat="false" ht="56" hidden="false" customHeight="true" outlineLevel="0" collapsed="false">
      <c r="A37" s="10" t="n">
        <v>31</v>
      </c>
      <c r="B37" s="11" t="str">
        <f aca="false">HYPERLINK("https://www.google.com/maps/dir/?api=1&amp;destination=41.6004239400%2C-93.6700773100&amp;travelmode=driving&amp;dir_action=navigate","3909 University Ave, Des Moines, IA")</f>
        <v>3909 University Ave, Des Moines, IA</v>
      </c>
      <c r="C37" s="24"/>
      <c r="D37" s="25"/>
      <c r="E37" s="25"/>
      <c r="F37" s="26" t="s">
        <v>36</v>
      </c>
      <c r="G37" s="15" t="s">
        <v>176</v>
      </c>
      <c r="H37" s="15" t="s">
        <v>177</v>
      </c>
      <c r="I37" s="16" t="n">
        <v>4</v>
      </c>
      <c r="J37" s="17" t="str">
        <f aca="false">HYPERLINK("https://www.google.com/maps/dir/?api=1&amp;destination=41.6004239400%2C-93.6700773100&amp;travelmode=driving&amp;dir_action=navigate","GPS nav")</f>
        <v>GPS nav</v>
      </c>
      <c r="K37" s="15" t="s">
        <v>39</v>
      </c>
      <c r="L37" s="18" t="s">
        <v>40</v>
      </c>
      <c r="M37" s="18" t="s">
        <v>41</v>
      </c>
      <c r="N37" s="18" t="s">
        <v>178</v>
      </c>
      <c r="O37" s="18" t="s">
        <v>43</v>
      </c>
      <c r="P37" s="19" t="n">
        <v>45957.6690509259</v>
      </c>
      <c r="Q37" s="18" t="s">
        <v>44</v>
      </c>
      <c r="R37" s="18"/>
      <c r="S37" s="19" t="n">
        <v>45957.6690393519</v>
      </c>
      <c r="T37" s="18" t="s">
        <v>55</v>
      </c>
      <c r="U37" s="18" t="s">
        <v>45</v>
      </c>
      <c r="V37" s="18" t="s">
        <v>46</v>
      </c>
      <c r="W37" s="18" t="s">
        <v>47</v>
      </c>
      <c r="X37" s="18" t="s">
        <v>179</v>
      </c>
      <c r="Y37" s="20" t="n">
        <v>41.60042394</v>
      </c>
      <c r="Z37" s="20" t="n">
        <v>-93.67007731</v>
      </c>
      <c r="AA37" s="18" t="s">
        <v>163</v>
      </c>
      <c r="AB37" s="16" t="n">
        <v>29</v>
      </c>
      <c r="AC37" s="18"/>
      <c r="AD37" s="18" t="s">
        <v>50</v>
      </c>
      <c r="AE37" s="21" t="s">
        <v>51</v>
      </c>
    </row>
    <row r="38" customFormat="false" ht="56" hidden="false" customHeight="true" outlineLevel="0" collapsed="false">
      <c r="A38" s="22" t="n">
        <v>32</v>
      </c>
      <c r="B38" s="34" t="str">
        <f aca="false">HYPERLINK("https://www.google.com/maps/dir/?api=1&amp;destination=41.5919372200%2C-93.6407869300&amp;travelmode=driving&amp;dir_action=navigate","GPS only — Central west. Street address blank in source.")</f>
        <v>GPS only — Central west. Street address blank in source.</v>
      </c>
      <c r="C38" s="24"/>
      <c r="D38" s="25"/>
      <c r="E38" s="25"/>
      <c r="F38" s="26" t="s">
        <v>36</v>
      </c>
      <c r="G38" s="27" t="s">
        <v>180</v>
      </c>
      <c r="H38" s="27" t="s">
        <v>181</v>
      </c>
      <c r="I38" s="28" t="n">
        <v>4</v>
      </c>
      <c r="J38" s="29" t="str">
        <f aca="false">HYPERLINK("https://www.google.com/maps/dir/?api=1&amp;destination=41.5919372200%2C-93.6407869300&amp;travelmode=driving&amp;dir_action=navigate","GPS nav")</f>
        <v>GPS nav</v>
      </c>
      <c r="K38" s="27" t="s">
        <v>39</v>
      </c>
      <c r="L38" s="30" t="s">
        <v>40</v>
      </c>
      <c r="M38" s="30" t="s">
        <v>41</v>
      </c>
      <c r="N38" s="30" t="s">
        <v>182</v>
      </c>
      <c r="O38" s="30" t="s">
        <v>43</v>
      </c>
      <c r="P38" s="31" t="n">
        <v>46031.0883912037</v>
      </c>
      <c r="Q38" s="30" t="s">
        <v>44</v>
      </c>
      <c r="R38" s="30"/>
      <c r="S38" s="31" t="n">
        <v>46031.0883912037</v>
      </c>
      <c r="T38" s="30" t="s">
        <v>55</v>
      </c>
      <c r="U38" s="30" t="s">
        <v>45</v>
      </c>
      <c r="V38" s="30" t="s">
        <v>46</v>
      </c>
      <c r="W38" s="30" t="s">
        <v>47</v>
      </c>
      <c r="X38" s="30"/>
      <c r="Y38" s="32" t="n">
        <v>41.59193722</v>
      </c>
      <c r="Z38" s="32" t="n">
        <v>-93.64078693</v>
      </c>
      <c r="AA38" s="30" t="s">
        <v>183</v>
      </c>
      <c r="AB38" s="28" t="n">
        <v>41</v>
      </c>
      <c r="AC38" s="30"/>
      <c r="AD38" s="30" t="s">
        <v>50</v>
      </c>
      <c r="AE38" s="33" t="s">
        <v>51</v>
      </c>
    </row>
    <row r="39" customFormat="false" ht="56" hidden="false" customHeight="true" outlineLevel="0" collapsed="false">
      <c r="A39" s="10" t="n">
        <v>33</v>
      </c>
      <c r="B39" s="11" t="str">
        <f aca="false">HYPERLINK("https://www.google.com/maps/dir/?api=1&amp;destination=41.5898143700%2C-93.6383848400&amp;travelmode=driving&amp;dir_action=navigate","1508 Pleasant St, Des Moines, IA")</f>
        <v>1508 Pleasant St, Des Moines, IA</v>
      </c>
      <c r="C39" s="24"/>
      <c r="D39" s="25"/>
      <c r="E39" s="25"/>
      <c r="F39" s="26" t="s">
        <v>36</v>
      </c>
      <c r="G39" s="15" t="s">
        <v>184</v>
      </c>
      <c r="H39" s="15" t="s">
        <v>185</v>
      </c>
      <c r="I39" s="16" t="n">
        <v>4</v>
      </c>
      <c r="J39" s="17" t="str">
        <f aca="false">HYPERLINK("https://www.google.com/maps/dir/?api=1&amp;destination=41.5898143700%2C-93.6383848400&amp;travelmode=driving&amp;dir_action=navigate","GPS nav")</f>
        <v>GPS nav</v>
      </c>
      <c r="K39" s="15" t="s">
        <v>39</v>
      </c>
      <c r="L39" s="18" t="s">
        <v>40</v>
      </c>
      <c r="M39" s="18" t="s">
        <v>41</v>
      </c>
      <c r="N39" s="18" t="s">
        <v>186</v>
      </c>
      <c r="O39" s="18" t="s">
        <v>43</v>
      </c>
      <c r="P39" s="19" t="n">
        <v>45985.4167708333</v>
      </c>
      <c r="Q39" s="18" t="s">
        <v>44</v>
      </c>
      <c r="R39" s="18"/>
      <c r="S39" s="19" t="n">
        <v>45985.4167592593</v>
      </c>
      <c r="T39" s="18" t="s">
        <v>55</v>
      </c>
      <c r="U39" s="18" t="s">
        <v>45</v>
      </c>
      <c r="V39" s="18" t="s">
        <v>46</v>
      </c>
      <c r="W39" s="18" t="s">
        <v>47</v>
      </c>
      <c r="X39" s="18" t="s">
        <v>187</v>
      </c>
      <c r="Y39" s="20" t="n">
        <v>41.58981437</v>
      </c>
      <c r="Z39" s="20" t="n">
        <v>-93.63838484</v>
      </c>
      <c r="AA39" s="18" t="s">
        <v>188</v>
      </c>
      <c r="AB39" s="16" t="n">
        <v>39</v>
      </c>
      <c r="AC39" s="18"/>
      <c r="AD39" s="18" t="s">
        <v>50</v>
      </c>
      <c r="AE39" s="21" t="s">
        <v>51</v>
      </c>
    </row>
    <row r="40" customFormat="false" ht="56" hidden="false" customHeight="true" outlineLevel="0" collapsed="false">
      <c r="A40" s="22" t="n">
        <v>34</v>
      </c>
      <c r="B40" s="23" t="str">
        <f aca="false">HYPERLINK("https://www.google.com/maps/dir/?api=1&amp;destination=41.6004949400%2C-93.6343152500&amp;travelmode=driving&amp;dir_action=navigate","1213 13th St, Des Moines, IA")</f>
        <v>1213 13th St, Des Moines, IA</v>
      </c>
      <c r="C40" s="24"/>
      <c r="D40" s="25"/>
      <c r="E40" s="25"/>
      <c r="F40" s="26" t="s">
        <v>36</v>
      </c>
      <c r="G40" s="27" t="s">
        <v>189</v>
      </c>
      <c r="H40" s="27" t="s">
        <v>190</v>
      </c>
      <c r="I40" s="28" t="n">
        <v>4</v>
      </c>
      <c r="J40" s="29" t="str">
        <f aca="false">HYPERLINK("https://www.google.com/maps/dir/?api=1&amp;destination=41.6004949400%2C-93.6343152500&amp;travelmode=driving&amp;dir_action=navigate","GPS nav")</f>
        <v>GPS nav</v>
      </c>
      <c r="K40" s="27" t="s">
        <v>39</v>
      </c>
      <c r="L40" s="30" t="s">
        <v>40</v>
      </c>
      <c r="M40" s="30" t="s">
        <v>41</v>
      </c>
      <c r="N40" s="30" t="s">
        <v>191</v>
      </c>
      <c r="O40" s="30" t="s">
        <v>43</v>
      </c>
      <c r="P40" s="31" t="n">
        <v>45957.7441435185</v>
      </c>
      <c r="Q40" s="30" t="s">
        <v>44</v>
      </c>
      <c r="R40" s="30"/>
      <c r="S40" s="31" t="n">
        <v>45957.7441435185</v>
      </c>
      <c r="T40" s="30" t="s">
        <v>55</v>
      </c>
      <c r="U40" s="30" t="s">
        <v>45</v>
      </c>
      <c r="V40" s="30" t="s">
        <v>46</v>
      </c>
      <c r="W40" s="30" t="s">
        <v>47</v>
      </c>
      <c r="X40" s="30" t="s">
        <v>192</v>
      </c>
      <c r="Y40" s="32" t="n">
        <v>41.60049494</v>
      </c>
      <c r="Z40" s="32" t="n">
        <v>-93.63431525</v>
      </c>
      <c r="AA40" s="30" t="s">
        <v>193</v>
      </c>
      <c r="AB40" s="28" t="n">
        <v>35</v>
      </c>
      <c r="AC40" s="30"/>
      <c r="AD40" s="30" t="s">
        <v>50</v>
      </c>
      <c r="AE40" s="33" t="s">
        <v>51</v>
      </c>
    </row>
    <row r="41" customFormat="false" ht="56" hidden="false" customHeight="true" outlineLevel="0" collapsed="false">
      <c r="A41" s="10" t="n">
        <v>35</v>
      </c>
      <c r="B41" s="11" t="str">
        <f aca="false">HYPERLINK("https://www.google.com/maps/dir/?api=1&amp;destination=41.6012045900%2C-93.6342686600&amp;travelmode=driving&amp;dir_action=navigate","1222 13th St, Des Moines, IA")</f>
        <v>1222 13th St, Des Moines, IA</v>
      </c>
      <c r="C41" s="24"/>
      <c r="D41" s="25"/>
      <c r="E41" s="25"/>
      <c r="F41" s="26" t="s">
        <v>36</v>
      </c>
      <c r="G41" s="15" t="s">
        <v>194</v>
      </c>
      <c r="H41" s="15" t="s">
        <v>195</v>
      </c>
      <c r="I41" s="16" t="n">
        <v>4</v>
      </c>
      <c r="J41" s="17" t="str">
        <f aca="false">HYPERLINK("https://www.google.com/maps/dir/?api=1&amp;destination=41.6012045900%2C-93.6342686600&amp;travelmode=driving&amp;dir_action=navigate","GPS nav")</f>
        <v>GPS nav</v>
      </c>
      <c r="K41" s="15" t="s">
        <v>39</v>
      </c>
      <c r="L41" s="18" t="s">
        <v>40</v>
      </c>
      <c r="M41" s="18" t="s">
        <v>41</v>
      </c>
      <c r="N41" s="18" t="s">
        <v>196</v>
      </c>
      <c r="O41" s="18" t="s">
        <v>43</v>
      </c>
      <c r="P41" s="19" t="n">
        <v>45761.9591319444</v>
      </c>
      <c r="Q41" s="18" t="s">
        <v>44</v>
      </c>
      <c r="R41" s="18"/>
      <c r="S41" s="19" t="n">
        <v>45761.9591203704</v>
      </c>
      <c r="T41" s="18" t="s">
        <v>55</v>
      </c>
      <c r="U41" s="18" t="s">
        <v>45</v>
      </c>
      <c r="V41" s="18" t="s">
        <v>46</v>
      </c>
      <c r="W41" s="18" t="s">
        <v>47</v>
      </c>
      <c r="X41" s="18" t="s">
        <v>197</v>
      </c>
      <c r="Y41" s="20" t="n">
        <v>41.60120459</v>
      </c>
      <c r="Z41" s="20" t="n">
        <v>-93.63426866</v>
      </c>
      <c r="AA41" s="18" t="s">
        <v>193</v>
      </c>
      <c r="AB41" s="16" t="n">
        <v>9</v>
      </c>
      <c r="AC41" s="18"/>
      <c r="AD41" s="18" t="s">
        <v>50</v>
      </c>
      <c r="AE41" s="21" t="s">
        <v>51</v>
      </c>
    </row>
    <row r="42" customFormat="false" ht="56" hidden="false" customHeight="true" outlineLevel="0" collapsed="false">
      <c r="A42" s="22" t="n">
        <v>36</v>
      </c>
      <c r="B42" s="23" t="str">
        <f aca="false">HYPERLINK("https://www.google.com/maps/dir/?api=1&amp;destination=41.6077241900%2C-93.6251420300&amp;travelmode=driving&amp;dir_action=navigate","515 College Ave, Des Moines, IA")</f>
        <v>515 College Ave, Des Moines, IA</v>
      </c>
      <c r="C42" s="24"/>
      <c r="D42" s="25"/>
      <c r="E42" s="25"/>
      <c r="F42" s="26" t="s">
        <v>36</v>
      </c>
      <c r="G42" s="27" t="s">
        <v>198</v>
      </c>
      <c r="H42" s="27" t="s">
        <v>199</v>
      </c>
      <c r="I42" s="28" t="n">
        <v>4</v>
      </c>
      <c r="J42" s="29" t="str">
        <f aca="false">HYPERLINK("https://www.google.com/maps/dir/?api=1&amp;destination=41.6077241900%2C-93.6251420300&amp;travelmode=driving&amp;dir_action=navigate","GPS nav")</f>
        <v>GPS nav</v>
      </c>
      <c r="K42" s="27" t="s">
        <v>39</v>
      </c>
      <c r="L42" s="30" t="s">
        <v>40</v>
      </c>
      <c r="M42" s="30" t="s">
        <v>41</v>
      </c>
      <c r="N42" s="30" t="s">
        <v>200</v>
      </c>
      <c r="O42" s="30" t="s">
        <v>43</v>
      </c>
      <c r="P42" s="31" t="n">
        <v>46087.0277662037</v>
      </c>
      <c r="Q42" s="30" t="s">
        <v>44</v>
      </c>
      <c r="R42" s="30"/>
      <c r="S42" s="31" t="n">
        <v>46087.0277546296</v>
      </c>
      <c r="T42" s="30" t="s">
        <v>55</v>
      </c>
      <c r="U42" s="30" t="s">
        <v>45</v>
      </c>
      <c r="V42" s="30" t="s">
        <v>46</v>
      </c>
      <c r="W42" s="30" t="s">
        <v>47</v>
      </c>
      <c r="X42" s="30" t="s">
        <v>201</v>
      </c>
      <c r="Y42" s="32" t="n">
        <v>41.60772419</v>
      </c>
      <c r="Z42" s="32" t="n">
        <v>-93.62514203</v>
      </c>
      <c r="AA42" s="30" t="s">
        <v>202</v>
      </c>
      <c r="AB42" s="28" t="n">
        <v>46</v>
      </c>
      <c r="AC42" s="30"/>
      <c r="AD42" s="30" t="s">
        <v>50</v>
      </c>
      <c r="AE42" s="33" t="s">
        <v>51</v>
      </c>
    </row>
    <row r="43" customFormat="false" ht="56" hidden="false" customHeight="true" outlineLevel="0" collapsed="false">
      <c r="A43" s="45" t="n">
        <v>37</v>
      </c>
      <c r="B43" s="46" t="str">
        <f aca="false">HYPERLINK("https://www.google.com/maps/dir/?api=1&amp;destination=41.6035883900%2C-93.6185645800&amp;travelmode=driving&amp;dir_action=navigate","123 Forest Ave, Des Moines, IA")</f>
        <v>123 Forest Ave, Des Moines, IA</v>
      </c>
      <c r="C43" s="37"/>
      <c r="D43" s="38"/>
      <c r="E43" s="38"/>
      <c r="F43" s="39" t="s">
        <v>36</v>
      </c>
      <c r="G43" s="47" t="s">
        <v>203</v>
      </c>
      <c r="H43" s="47" t="s">
        <v>204</v>
      </c>
      <c r="I43" s="45" t="n">
        <v>5</v>
      </c>
      <c r="J43" s="48" t="str">
        <f aca="false">HYPERLINK("https://www.google.com/maps/dir/?api=1&amp;destination=41.6035883900%2C-93.6185645800&amp;travelmode=driving&amp;dir_action=navigate","GPS nav")</f>
        <v>GPS nav</v>
      </c>
      <c r="K43" s="47" t="s">
        <v>39</v>
      </c>
      <c r="L43" s="49" t="s">
        <v>40</v>
      </c>
      <c r="M43" s="49" t="s">
        <v>41</v>
      </c>
      <c r="N43" s="49" t="s">
        <v>205</v>
      </c>
      <c r="O43" s="49" t="s">
        <v>43</v>
      </c>
      <c r="P43" s="50" t="n">
        <v>45944.9707407407</v>
      </c>
      <c r="Q43" s="49" t="s">
        <v>44</v>
      </c>
      <c r="R43" s="49"/>
      <c r="S43" s="50" t="n">
        <v>45944.9707407407</v>
      </c>
      <c r="T43" s="49" t="s">
        <v>55</v>
      </c>
      <c r="U43" s="49" t="s">
        <v>45</v>
      </c>
      <c r="V43" s="49" t="s">
        <v>46</v>
      </c>
      <c r="W43" s="49" t="s">
        <v>47</v>
      </c>
      <c r="X43" s="49" t="s">
        <v>206</v>
      </c>
      <c r="Y43" s="51" t="n">
        <v>41.60358839</v>
      </c>
      <c r="Z43" s="51" t="n">
        <v>-93.61856458</v>
      </c>
      <c r="AA43" s="49" t="s">
        <v>207</v>
      </c>
      <c r="AB43" s="45" t="n">
        <v>21</v>
      </c>
      <c r="AC43" s="49"/>
      <c r="AD43" s="49" t="s">
        <v>50</v>
      </c>
      <c r="AE43" s="49" t="s">
        <v>51</v>
      </c>
    </row>
    <row r="44" customFormat="false" ht="56" hidden="false" customHeight="true" outlineLevel="0" collapsed="false">
      <c r="A44" s="22" t="n">
        <v>38</v>
      </c>
      <c r="B44" s="23" t="str">
        <f aca="false">HYPERLINK("https://www.google.com/maps/dir/?api=1&amp;destination=41.6001873600%2C-93.6210141500&amp;travelmode=driving&amp;dir_action=navigate","In front of 212 University Ave, Des Moines, IA")</f>
        <v>In front of 212 University Ave, Des Moines, IA</v>
      </c>
      <c r="C44" s="24"/>
      <c r="D44" s="25"/>
      <c r="E44" s="25"/>
      <c r="F44" s="26" t="s">
        <v>36</v>
      </c>
      <c r="G44" s="27" t="s">
        <v>208</v>
      </c>
      <c r="H44" s="27" t="s">
        <v>209</v>
      </c>
      <c r="I44" s="28" t="n">
        <v>5</v>
      </c>
      <c r="J44" s="29" t="str">
        <f aca="false">HYPERLINK("https://www.google.com/maps/dir/?api=1&amp;destination=41.6001873600%2C-93.6210141500&amp;travelmode=driving&amp;dir_action=navigate","GPS nav")</f>
        <v>GPS nav</v>
      </c>
      <c r="K44" s="27" t="s">
        <v>39</v>
      </c>
      <c r="L44" s="30" t="s">
        <v>40</v>
      </c>
      <c r="M44" s="30" t="s">
        <v>41</v>
      </c>
      <c r="N44" s="30" t="s">
        <v>210</v>
      </c>
      <c r="O44" s="30" t="s">
        <v>43</v>
      </c>
      <c r="P44" s="31" t="n">
        <v>45901.2448032407</v>
      </c>
      <c r="Q44" s="30" t="s">
        <v>44</v>
      </c>
      <c r="R44" s="30"/>
      <c r="S44" s="31" t="n">
        <v>45901.2448032407</v>
      </c>
      <c r="T44" s="30" t="s">
        <v>55</v>
      </c>
      <c r="U44" s="30" t="s">
        <v>45</v>
      </c>
      <c r="V44" s="30" t="s">
        <v>46</v>
      </c>
      <c r="W44" s="30" t="s">
        <v>47</v>
      </c>
      <c r="X44" s="30" t="s">
        <v>211</v>
      </c>
      <c r="Y44" s="32" t="n">
        <v>41.60018736</v>
      </c>
      <c r="Z44" s="32" t="n">
        <v>-93.62101415</v>
      </c>
      <c r="AA44" s="30" t="s">
        <v>212</v>
      </c>
      <c r="AB44" s="28" t="n">
        <v>13</v>
      </c>
      <c r="AC44" s="30"/>
      <c r="AD44" s="30" t="s">
        <v>50</v>
      </c>
      <c r="AE44" s="33" t="s">
        <v>51</v>
      </c>
    </row>
    <row r="45" customFormat="false" ht="56" hidden="false" customHeight="true" outlineLevel="0" collapsed="false">
      <c r="A45" s="10" t="n">
        <v>39</v>
      </c>
      <c r="B45" s="11" t="str">
        <f aca="false">HYPERLINK("https://www.google.com/maps/dir/?api=1&amp;destination=41.5554303300%2C-93.6104454300&amp;travelmode=driving&amp;dir_action=navigate","320 E Park Ave, Des Moines, IA")</f>
        <v>320 E Park Ave, Des Moines, IA</v>
      </c>
      <c r="C45" s="24"/>
      <c r="D45" s="25"/>
      <c r="E45" s="25"/>
      <c r="F45" s="26" t="s">
        <v>36</v>
      </c>
      <c r="G45" s="15" t="s">
        <v>213</v>
      </c>
      <c r="H45" s="15" t="s">
        <v>214</v>
      </c>
      <c r="I45" s="16" t="n">
        <v>5</v>
      </c>
      <c r="J45" s="17" t="str">
        <f aca="false">HYPERLINK("https://www.google.com/maps/dir/?api=1&amp;destination=41.5554303300%2C-93.6104454300&amp;travelmode=driving&amp;dir_action=navigate","GPS nav")</f>
        <v>GPS nav</v>
      </c>
      <c r="K45" s="15" t="s">
        <v>39</v>
      </c>
      <c r="L45" s="18" t="s">
        <v>40</v>
      </c>
      <c r="M45" s="18" t="s">
        <v>41</v>
      </c>
      <c r="N45" s="18" t="s">
        <v>215</v>
      </c>
      <c r="O45" s="18" t="s">
        <v>43</v>
      </c>
      <c r="P45" s="19" t="n">
        <v>46196.3419675926</v>
      </c>
      <c r="Q45" s="18" t="s">
        <v>44</v>
      </c>
      <c r="R45" s="18"/>
      <c r="S45" s="19" t="n">
        <v>46196.3419675926</v>
      </c>
      <c r="T45" s="18" t="s">
        <v>55</v>
      </c>
      <c r="U45" s="18" t="s">
        <v>45</v>
      </c>
      <c r="V45" s="18" t="s">
        <v>46</v>
      </c>
      <c r="W45" s="18" t="s">
        <v>47</v>
      </c>
      <c r="X45" s="18" t="s">
        <v>216</v>
      </c>
      <c r="Y45" s="20" t="n">
        <v>41.55543033</v>
      </c>
      <c r="Z45" s="20" t="n">
        <v>-93.61044543</v>
      </c>
      <c r="AA45" s="18" t="s">
        <v>217</v>
      </c>
      <c r="AB45" s="16" t="n">
        <v>61</v>
      </c>
      <c r="AC45" s="18"/>
      <c r="AD45" s="18" t="s">
        <v>50</v>
      </c>
      <c r="AE45" s="21" t="s">
        <v>51</v>
      </c>
    </row>
    <row r="46" customFormat="false" ht="56" hidden="false" customHeight="true" outlineLevel="0" collapsed="false">
      <c r="A46" s="22" t="n">
        <v>40</v>
      </c>
      <c r="B46" s="23" t="str">
        <f aca="false">HYPERLINK("https://www.google.com/maps/dir/?api=1&amp;destination=41.5554325500%2C-93.6109665200&amp;travelmode=driving&amp;dir_action=navigate","308 E Park Ave, Des Moines, IA")</f>
        <v>308 E Park Ave, Des Moines, IA</v>
      </c>
      <c r="C46" s="24"/>
      <c r="D46" s="25"/>
      <c r="E46" s="25"/>
      <c r="F46" s="26" t="s">
        <v>36</v>
      </c>
      <c r="G46" s="27" t="s">
        <v>218</v>
      </c>
      <c r="H46" s="27" t="s">
        <v>219</v>
      </c>
      <c r="I46" s="28" t="n">
        <v>5</v>
      </c>
      <c r="J46" s="29" t="str">
        <f aca="false">HYPERLINK("https://www.google.com/maps/dir/?api=1&amp;destination=41.5554325500%2C-93.6109665200&amp;travelmode=driving&amp;dir_action=navigate","GPS nav")</f>
        <v>GPS nav</v>
      </c>
      <c r="K46" s="27" t="s">
        <v>39</v>
      </c>
      <c r="L46" s="30" t="s">
        <v>40</v>
      </c>
      <c r="M46" s="30" t="s">
        <v>41</v>
      </c>
      <c r="N46" s="30" t="s">
        <v>220</v>
      </c>
      <c r="O46" s="30" t="s">
        <v>43</v>
      </c>
      <c r="P46" s="31" t="n">
        <v>46196.342650463</v>
      </c>
      <c r="Q46" s="30" t="s">
        <v>44</v>
      </c>
      <c r="R46" s="30"/>
      <c r="S46" s="31" t="n">
        <v>46196.342650463</v>
      </c>
      <c r="T46" s="30" t="s">
        <v>55</v>
      </c>
      <c r="U46" s="30" t="s">
        <v>45</v>
      </c>
      <c r="V46" s="30" t="s">
        <v>46</v>
      </c>
      <c r="W46" s="30" t="s">
        <v>47</v>
      </c>
      <c r="X46" s="30" t="s">
        <v>221</v>
      </c>
      <c r="Y46" s="32" t="n">
        <v>41.55543255</v>
      </c>
      <c r="Z46" s="32" t="n">
        <v>-93.61096652</v>
      </c>
      <c r="AA46" s="30" t="s">
        <v>217</v>
      </c>
      <c r="AB46" s="28" t="n">
        <v>62</v>
      </c>
      <c r="AC46" s="30"/>
      <c r="AD46" s="30" t="s">
        <v>50</v>
      </c>
      <c r="AE46" s="33" t="s">
        <v>51</v>
      </c>
    </row>
    <row r="47" customFormat="false" ht="56" hidden="false" customHeight="true" outlineLevel="0" collapsed="false">
      <c r="A47" s="10" t="n">
        <v>41</v>
      </c>
      <c r="B47" s="11" t="str">
        <f aca="false">HYPERLINK("https://www.google.com/maps/dir/?api=1&amp;destination=41.5554366700%2C-93.6119573100&amp;travelmode=driving&amp;dir_action=navigate","216 E Park Ave, Des Moines, IA")</f>
        <v>216 E Park Ave, Des Moines, IA</v>
      </c>
      <c r="C47" s="24"/>
      <c r="D47" s="25"/>
      <c r="E47" s="25"/>
      <c r="F47" s="26" t="s">
        <v>36</v>
      </c>
      <c r="G47" s="15" t="s">
        <v>222</v>
      </c>
      <c r="H47" s="15" t="s">
        <v>223</v>
      </c>
      <c r="I47" s="16" t="n">
        <v>5</v>
      </c>
      <c r="J47" s="17" t="str">
        <f aca="false">HYPERLINK("https://www.google.com/maps/dir/?api=1&amp;destination=41.5554366700%2C-93.6119573100&amp;travelmode=driving&amp;dir_action=navigate","GPS nav")</f>
        <v>GPS nav</v>
      </c>
      <c r="K47" s="15" t="s">
        <v>39</v>
      </c>
      <c r="L47" s="18" t="s">
        <v>40</v>
      </c>
      <c r="M47" s="18" t="s">
        <v>41</v>
      </c>
      <c r="N47" s="18" t="s">
        <v>224</v>
      </c>
      <c r="O47" s="18" t="s">
        <v>43</v>
      </c>
      <c r="P47" s="19" t="n">
        <v>46196.3410300926</v>
      </c>
      <c r="Q47" s="18" t="s">
        <v>44</v>
      </c>
      <c r="R47" s="18"/>
      <c r="S47" s="19" t="n">
        <v>46196.3410300926</v>
      </c>
      <c r="T47" s="18" t="s">
        <v>55</v>
      </c>
      <c r="U47" s="18" t="s">
        <v>45</v>
      </c>
      <c r="V47" s="18" t="s">
        <v>46</v>
      </c>
      <c r="W47" s="18" t="s">
        <v>47</v>
      </c>
      <c r="X47" s="18" t="s">
        <v>225</v>
      </c>
      <c r="Y47" s="20" t="n">
        <v>41.55543667</v>
      </c>
      <c r="Z47" s="20" t="n">
        <v>-93.61195731</v>
      </c>
      <c r="AA47" s="18" t="s">
        <v>217</v>
      </c>
      <c r="AB47" s="16" t="n">
        <v>60</v>
      </c>
      <c r="AC47" s="18"/>
      <c r="AD47" s="18" t="s">
        <v>50</v>
      </c>
      <c r="AE47" s="21" t="s">
        <v>51</v>
      </c>
    </row>
    <row r="48" customFormat="false" ht="56" hidden="false" customHeight="true" outlineLevel="0" collapsed="false">
      <c r="A48" s="22" t="n">
        <v>42</v>
      </c>
      <c r="B48" s="23" t="str">
        <f aca="false">HYPERLINK("https://www.google.com/maps/dir/?api=1&amp;destination=41.5554530400%2C-93.6151939100&amp;travelmode=driving&amp;dir_action=navigate","18 E Park Ave, Des Moines, IA")</f>
        <v>18 E Park Ave, Des Moines, IA</v>
      </c>
      <c r="C48" s="24"/>
      <c r="D48" s="25"/>
      <c r="E48" s="25"/>
      <c r="F48" s="26" t="s">
        <v>36</v>
      </c>
      <c r="G48" s="27" t="s">
        <v>226</v>
      </c>
      <c r="H48" s="27" t="s">
        <v>227</v>
      </c>
      <c r="I48" s="28" t="n">
        <v>5</v>
      </c>
      <c r="J48" s="29" t="str">
        <f aca="false">HYPERLINK("https://www.google.com/maps/dir/?api=1&amp;destination=41.5554530400%2C-93.6151939100&amp;travelmode=driving&amp;dir_action=navigate","GPS nav")</f>
        <v>GPS nav</v>
      </c>
      <c r="K48" s="27" t="s">
        <v>39</v>
      </c>
      <c r="L48" s="30" t="s">
        <v>40</v>
      </c>
      <c r="M48" s="30" t="s">
        <v>41</v>
      </c>
      <c r="N48" s="30" t="s">
        <v>228</v>
      </c>
      <c r="O48" s="30" t="s">
        <v>43</v>
      </c>
      <c r="P48" s="31" t="n">
        <v>45957.6312731481</v>
      </c>
      <c r="Q48" s="30" t="s">
        <v>44</v>
      </c>
      <c r="R48" s="30"/>
      <c r="S48" s="31" t="n">
        <v>45957.6312615741</v>
      </c>
      <c r="T48" s="30" t="s">
        <v>55</v>
      </c>
      <c r="U48" s="30" t="s">
        <v>45</v>
      </c>
      <c r="V48" s="30" t="s">
        <v>46</v>
      </c>
      <c r="W48" s="30" t="s">
        <v>47</v>
      </c>
      <c r="X48" s="30" t="s">
        <v>229</v>
      </c>
      <c r="Y48" s="32" t="n">
        <v>41.55545304</v>
      </c>
      <c r="Z48" s="32" t="n">
        <v>-93.61519391</v>
      </c>
      <c r="AA48" s="30" t="s">
        <v>217</v>
      </c>
      <c r="AB48" s="28" t="n">
        <v>26</v>
      </c>
      <c r="AC48" s="30"/>
      <c r="AD48" s="30" t="s">
        <v>50</v>
      </c>
      <c r="AE48" s="33" t="s">
        <v>51</v>
      </c>
    </row>
    <row r="49" customFormat="false" ht="56" hidden="false" customHeight="true" outlineLevel="0" collapsed="false">
      <c r="A49" s="10" t="n">
        <v>43</v>
      </c>
      <c r="B49" s="11" t="str">
        <f aca="false">HYPERLINK("https://www.google.com/maps/dir/?api=1&amp;destination=41.5554571700%2C-93.6156776700&amp;travelmode=driving&amp;dir_action=navigate","10 E Park Ave, Des Moines, IA")</f>
        <v>10 E Park Ave, Des Moines, IA</v>
      </c>
      <c r="C49" s="24"/>
      <c r="D49" s="25"/>
      <c r="E49" s="25"/>
      <c r="F49" s="26" t="s">
        <v>36</v>
      </c>
      <c r="G49" s="15" t="s">
        <v>230</v>
      </c>
      <c r="H49" s="15" t="s">
        <v>231</v>
      </c>
      <c r="I49" s="16" t="n">
        <v>5</v>
      </c>
      <c r="J49" s="17" t="str">
        <f aca="false">HYPERLINK("https://www.google.com/maps/dir/?api=1&amp;destination=41.5554571700%2C-93.6156776700&amp;travelmode=driving&amp;dir_action=navigate","GPS nav")</f>
        <v>GPS nav</v>
      </c>
      <c r="K49" s="15" t="s">
        <v>39</v>
      </c>
      <c r="L49" s="18" t="s">
        <v>40</v>
      </c>
      <c r="M49" s="18" t="s">
        <v>41</v>
      </c>
      <c r="N49" s="18" t="s">
        <v>232</v>
      </c>
      <c r="O49" s="18" t="s">
        <v>43</v>
      </c>
      <c r="P49" s="19" t="n">
        <v>45957.6057523148</v>
      </c>
      <c r="Q49" s="18" t="s">
        <v>44</v>
      </c>
      <c r="R49" s="18"/>
      <c r="S49" s="19" t="n">
        <v>45957.6057407407</v>
      </c>
      <c r="T49" s="18" t="s">
        <v>55</v>
      </c>
      <c r="U49" s="18" t="s">
        <v>45</v>
      </c>
      <c r="V49" s="18" t="s">
        <v>46</v>
      </c>
      <c r="W49" s="18" t="s">
        <v>47</v>
      </c>
      <c r="X49" s="18" t="s">
        <v>233</v>
      </c>
      <c r="Y49" s="20" t="n">
        <v>41.55545717</v>
      </c>
      <c r="Z49" s="20" t="n">
        <v>-93.61567767</v>
      </c>
      <c r="AA49" s="18" t="s">
        <v>217</v>
      </c>
      <c r="AB49" s="16" t="n">
        <v>25</v>
      </c>
      <c r="AC49" s="18"/>
      <c r="AD49" s="18" t="s">
        <v>50</v>
      </c>
      <c r="AE49" s="21" t="s">
        <v>51</v>
      </c>
    </row>
    <row r="50" customFormat="false" ht="56" hidden="false" customHeight="true" outlineLevel="0" collapsed="false">
      <c r="A50" s="22" t="n">
        <v>44</v>
      </c>
      <c r="B50" s="23" t="str">
        <f aca="false">HYPERLINK("https://www.google.com/maps/dir/?api=1&amp;destination=41.5523137400%2C-93.6258201200&amp;travelmode=driving&amp;dir_action=navigate","3516 SW 9th St, Des Moines, IA")</f>
        <v>3516 SW 9th St, Des Moines, IA</v>
      </c>
      <c r="C50" s="24"/>
      <c r="D50" s="25"/>
      <c r="E50" s="25"/>
      <c r="F50" s="26" t="s">
        <v>36</v>
      </c>
      <c r="G50" s="27" t="s">
        <v>234</v>
      </c>
      <c r="H50" s="27" t="s">
        <v>235</v>
      </c>
      <c r="I50" s="28" t="n">
        <v>5</v>
      </c>
      <c r="J50" s="29" t="str">
        <f aca="false">HYPERLINK("https://www.google.com/maps/dir/?api=1&amp;destination=41.5523137400%2C-93.6258201200&amp;travelmode=driving&amp;dir_action=navigate","GPS nav")</f>
        <v>GPS nav</v>
      </c>
      <c r="K50" s="27" t="s">
        <v>39</v>
      </c>
      <c r="L50" s="30" t="s">
        <v>40</v>
      </c>
      <c r="M50" s="30" t="s">
        <v>41</v>
      </c>
      <c r="N50" s="30" t="s">
        <v>236</v>
      </c>
      <c r="O50" s="30" t="s">
        <v>43</v>
      </c>
      <c r="P50" s="31" t="n">
        <v>45957.7347685185</v>
      </c>
      <c r="Q50" s="30" t="s">
        <v>44</v>
      </c>
      <c r="R50" s="30"/>
      <c r="S50" s="31" t="n">
        <v>45957.7347569445</v>
      </c>
      <c r="T50" s="30" t="s">
        <v>55</v>
      </c>
      <c r="U50" s="30" t="s">
        <v>45</v>
      </c>
      <c r="V50" s="30" t="s">
        <v>46</v>
      </c>
      <c r="W50" s="30" t="s">
        <v>47</v>
      </c>
      <c r="X50" s="30" t="s">
        <v>237</v>
      </c>
      <c r="Y50" s="32" t="n">
        <v>41.55231374</v>
      </c>
      <c r="Z50" s="32" t="n">
        <v>-93.62582012</v>
      </c>
      <c r="AA50" s="30" t="s">
        <v>238</v>
      </c>
      <c r="AB50" s="28" t="n">
        <v>32</v>
      </c>
      <c r="AC50" s="30"/>
      <c r="AD50" s="30" t="s">
        <v>50</v>
      </c>
      <c r="AE50" s="33" t="s">
        <v>51</v>
      </c>
    </row>
    <row r="51" customFormat="false" ht="56" hidden="false" customHeight="true" outlineLevel="0" collapsed="false">
      <c r="A51" s="10" t="n">
        <v>45</v>
      </c>
      <c r="B51" s="11" t="str">
        <f aca="false">HYPERLINK("https://www.google.com/maps/dir/?api=1&amp;destination=41.5554031100%2C-93.6289031300&amp;travelmode=driving&amp;dir_action=navigate","1102 Park Ave, Des Moines, IA")</f>
        <v>1102 Park Ave, Des Moines, IA</v>
      </c>
      <c r="C51" s="24"/>
      <c r="D51" s="25"/>
      <c r="E51" s="25"/>
      <c r="F51" s="26" t="s">
        <v>36</v>
      </c>
      <c r="G51" s="15" t="s">
        <v>239</v>
      </c>
      <c r="H51" s="15" t="s">
        <v>240</v>
      </c>
      <c r="I51" s="16" t="n">
        <v>5</v>
      </c>
      <c r="J51" s="17" t="str">
        <f aca="false">HYPERLINK("https://www.google.com/maps/dir/?api=1&amp;destination=41.5554031100%2C-93.6289031300&amp;travelmode=driving&amp;dir_action=navigate","GPS nav")</f>
        <v>GPS nav</v>
      </c>
      <c r="K51" s="15" t="s">
        <v>39</v>
      </c>
      <c r="L51" s="18" t="s">
        <v>40</v>
      </c>
      <c r="M51" s="18" t="s">
        <v>41</v>
      </c>
      <c r="N51" s="18" t="s">
        <v>241</v>
      </c>
      <c r="O51" s="18" t="s">
        <v>43</v>
      </c>
      <c r="P51" s="19" t="n">
        <v>46063.0686111111</v>
      </c>
      <c r="Q51" s="18" t="s">
        <v>44</v>
      </c>
      <c r="R51" s="18"/>
      <c r="S51" s="19" t="n">
        <v>46063.0686111111</v>
      </c>
      <c r="T51" s="18" t="s">
        <v>55</v>
      </c>
      <c r="U51" s="18" t="s">
        <v>45</v>
      </c>
      <c r="V51" s="18" t="s">
        <v>46</v>
      </c>
      <c r="W51" s="18" t="s">
        <v>47</v>
      </c>
      <c r="X51" s="18" t="s">
        <v>242</v>
      </c>
      <c r="Y51" s="20" t="n">
        <v>41.55540311</v>
      </c>
      <c r="Z51" s="20" t="n">
        <v>-93.62890313</v>
      </c>
      <c r="AA51" s="18" t="s">
        <v>243</v>
      </c>
      <c r="AB51" s="16" t="n">
        <v>43</v>
      </c>
      <c r="AC51" s="18"/>
      <c r="AD51" s="18" t="s">
        <v>50</v>
      </c>
      <c r="AE51" s="21" t="s">
        <v>51</v>
      </c>
    </row>
    <row r="52" customFormat="false" ht="56" hidden="false" customHeight="true" outlineLevel="0" collapsed="false">
      <c r="A52" s="35" t="n">
        <v>46</v>
      </c>
      <c r="B52" s="36" t="str">
        <f aca="false">HYPERLINK("https://www.google.com/maps/dir/?api=1&amp;destination=41.5555248000%2C-93.6548361300&amp;travelmode=driving&amp;dir_action=navigate","2801 Park Ave, Des Moines, IA")</f>
        <v>2801 Park Ave, Des Moines, IA</v>
      </c>
      <c r="C52" s="37"/>
      <c r="D52" s="38"/>
      <c r="E52" s="38"/>
      <c r="F52" s="39" t="s">
        <v>36</v>
      </c>
      <c r="G52" s="40" t="s">
        <v>244</v>
      </c>
      <c r="H52" s="40" t="s">
        <v>245</v>
      </c>
      <c r="I52" s="35" t="n">
        <v>6</v>
      </c>
      <c r="J52" s="41" t="str">
        <f aca="false">HYPERLINK("https://www.google.com/maps/dir/?api=1&amp;destination=41.5555248000%2C-93.6548361300&amp;travelmode=driving&amp;dir_action=navigate","GPS nav")</f>
        <v>GPS nav</v>
      </c>
      <c r="K52" s="40" t="s">
        <v>39</v>
      </c>
      <c r="L52" s="42" t="s">
        <v>40</v>
      </c>
      <c r="M52" s="42" t="s">
        <v>41</v>
      </c>
      <c r="N52" s="42" t="s">
        <v>246</v>
      </c>
      <c r="O52" s="42" t="s">
        <v>43</v>
      </c>
      <c r="P52" s="43" t="n">
        <v>46078.4288888889</v>
      </c>
      <c r="Q52" s="42" t="s">
        <v>44</v>
      </c>
      <c r="R52" s="42"/>
      <c r="S52" s="43" t="n">
        <v>46078.4288773148</v>
      </c>
      <c r="T52" s="42" t="s">
        <v>55</v>
      </c>
      <c r="U52" s="42" t="s">
        <v>45</v>
      </c>
      <c r="V52" s="42" t="s">
        <v>46</v>
      </c>
      <c r="W52" s="42" t="s">
        <v>47</v>
      </c>
      <c r="X52" s="42" t="s">
        <v>247</v>
      </c>
      <c r="Y52" s="44" t="n">
        <v>41.5555248</v>
      </c>
      <c r="Z52" s="44" t="n">
        <v>-93.65483613</v>
      </c>
      <c r="AA52" s="42" t="s">
        <v>243</v>
      </c>
      <c r="AB52" s="35" t="n">
        <v>45</v>
      </c>
      <c r="AC52" s="42"/>
      <c r="AD52" s="42" t="s">
        <v>50</v>
      </c>
      <c r="AE52" s="42" t="s">
        <v>51</v>
      </c>
    </row>
    <row r="53" customFormat="false" ht="56" hidden="false" customHeight="true" outlineLevel="0" collapsed="false">
      <c r="A53" s="10" t="n">
        <v>47</v>
      </c>
      <c r="B53" s="11" t="str">
        <f aca="false">HYPERLINK("https://www.google.com/maps/dir/?api=1&amp;destination=41.5555309600%2C-93.6556491800&amp;travelmode=driving&amp;dir_action=navigate","2832 Park Ave, Des Moines, IA")</f>
        <v>2832 Park Ave, Des Moines, IA</v>
      </c>
      <c r="C53" s="24"/>
      <c r="D53" s="25"/>
      <c r="E53" s="25"/>
      <c r="F53" s="26" t="s">
        <v>36</v>
      </c>
      <c r="G53" s="15" t="s">
        <v>248</v>
      </c>
      <c r="H53" s="15" t="s">
        <v>249</v>
      </c>
      <c r="I53" s="16" t="n">
        <v>6</v>
      </c>
      <c r="J53" s="17" t="str">
        <f aca="false">HYPERLINK("https://www.google.com/maps/dir/?api=1&amp;destination=41.5555309600%2C-93.6556491800&amp;travelmode=driving&amp;dir_action=navigate","GPS nav")</f>
        <v>GPS nav</v>
      </c>
      <c r="K53" s="15" t="s">
        <v>39</v>
      </c>
      <c r="L53" s="18" t="s">
        <v>40</v>
      </c>
      <c r="M53" s="18" t="s">
        <v>41</v>
      </c>
      <c r="N53" s="18" t="s">
        <v>250</v>
      </c>
      <c r="O53" s="18" t="s">
        <v>43</v>
      </c>
      <c r="P53" s="19" t="n">
        <v>46078.4286921296</v>
      </c>
      <c r="Q53" s="18" t="s">
        <v>44</v>
      </c>
      <c r="R53" s="18"/>
      <c r="S53" s="19" t="n">
        <v>46078.4286921296</v>
      </c>
      <c r="T53" s="18" t="s">
        <v>55</v>
      </c>
      <c r="U53" s="18" t="s">
        <v>45</v>
      </c>
      <c r="V53" s="18" t="s">
        <v>46</v>
      </c>
      <c r="W53" s="18" t="s">
        <v>47</v>
      </c>
      <c r="X53" s="18" t="s">
        <v>251</v>
      </c>
      <c r="Y53" s="20" t="n">
        <v>41.55553096</v>
      </c>
      <c r="Z53" s="20" t="n">
        <v>-93.65564918</v>
      </c>
      <c r="AA53" s="18" t="s">
        <v>243</v>
      </c>
      <c r="AB53" s="16" t="n">
        <v>44</v>
      </c>
      <c r="AC53" s="18"/>
      <c r="AD53" s="18" t="s">
        <v>50</v>
      </c>
      <c r="AE53" s="21" t="s">
        <v>51</v>
      </c>
    </row>
    <row r="54" customFormat="false" ht="56" hidden="false" customHeight="true" outlineLevel="0" collapsed="false">
      <c r="A54" s="22" t="n">
        <v>48</v>
      </c>
      <c r="B54" s="23" t="str">
        <f aca="false">HYPERLINK("https://www.google.com/maps/dir/?api=1&amp;destination=41.5471234900%2C-93.6451456700&amp;travelmode=driving&amp;dir_action=navigate","4024 Fleur Dr, Des Moines, IA")</f>
        <v>4024 Fleur Dr, Des Moines, IA</v>
      </c>
      <c r="C54" s="24"/>
      <c r="D54" s="25"/>
      <c r="E54" s="25"/>
      <c r="F54" s="26" t="s">
        <v>36</v>
      </c>
      <c r="G54" s="27" t="s">
        <v>252</v>
      </c>
      <c r="H54" s="27" t="s">
        <v>253</v>
      </c>
      <c r="I54" s="28" t="n">
        <v>6</v>
      </c>
      <c r="J54" s="29" t="str">
        <f aca="false">HYPERLINK("https://www.google.com/maps/dir/?api=1&amp;destination=41.5471234900%2C-93.6451456700&amp;travelmode=driving&amp;dir_action=navigate","GPS nav")</f>
        <v>GPS nav</v>
      </c>
      <c r="K54" s="27" t="s">
        <v>39</v>
      </c>
      <c r="L54" s="30" t="s">
        <v>40</v>
      </c>
      <c r="M54" s="30" t="s">
        <v>41</v>
      </c>
      <c r="N54" s="30" t="s">
        <v>254</v>
      </c>
      <c r="O54" s="30" t="s">
        <v>43</v>
      </c>
      <c r="P54" s="31" t="n">
        <v>46120.0535648148</v>
      </c>
      <c r="Q54" s="30" t="s">
        <v>44</v>
      </c>
      <c r="R54" s="30"/>
      <c r="S54" s="31" t="n">
        <v>46120.0535648148</v>
      </c>
      <c r="T54" s="30" t="s">
        <v>55</v>
      </c>
      <c r="U54" s="30" t="s">
        <v>45</v>
      </c>
      <c r="V54" s="30" t="s">
        <v>46</v>
      </c>
      <c r="W54" s="30" t="s">
        <v>47</v>
      </c>
      <c r="X54" s="30" t="s">
        <v>255</v>
      </c>
      <c r="Y54" s="32" t="n">
        <v>41.54712349</v>
      </c>
      <c r="Z54" s="32" t="n">
        <v>-93.64514567</v>
      </c>
      <c r="AA54" s="30" t="s">
        <v>256</v>
      </c>
      <c r="AB54" s="28" t="n">
        <v>48</v>
      </c>
      <c r="AC54" s="30"/>
      <c r="AD54" s="30" t="s">
        <v>50</v>
      </c>
      <c r="AE54" s="33" t="s">
        <v>51</v>
      </c>
    </row>
    <row r="55" customFormat="false" ht="56" hidden="false" customHeight="true" outlineLevel="0" collapsed="false">
      <c r="A55" s="10" t="n">
        <v>49</v>
      </c>
      <c r="B55" s="11" t="str">
        <f aca="false">HYPERLINK("https://www.google.com/maps/dir/?api=1&amp;destination=41.5463676700%2C-93.6451483600&amp;travelmode=driving&amp;dir_action=navigate","4108 Fleur Dr, Des Moines, IA")</f>
        <v>4108 Fleur Dr, Des Moines, IA</v>
      </c>
      <c r="C55" s="24"/>
      <c r="D55" s="25"/>
      <c r="E55" s="25"/>
      <c r="F55" s="26" t="s">
        <v>36</v>
      </c>
      <c r="G55" s="15" t="s">
        <v>257</v>
      </c>
      <c r="H55" s="15" t="s">
        <v>258</v>
      </c>
      <c r="I55" s="16" t="n">
        <v>6</v>
      </c>
      <c r="J55" s="17" t="str">
        <f aca="false">HYPERLINK("https://www.google.com/maps/dir/?api=1&amp;destination=41.5463676700%2C-93.6451483600&amp;travelmode=driving&amp;dir_action=navigate","GPS nav")</f>
        <v>GPS nav</v>
      </c>
      <c r="K55" s="15" t="s">
        <v>39</v>
      </c>
      <c r="L55" s="18" t="s">
        <v>40</v>
      </c>
      <c r="M55" s="18" t="s">
        <v>41</v>
      </c>
      <c r="N55" s="18" t="s">
        <v>259</v>
      </c>
      <c r="O55" s="18" t="s">
        <v>43</v>
      </c>
      <c r="P55" s="19" t="n">
        <v>46120.0540277778</v>
      </c>
      <c r="Q55" s="18" t="s">
        <v>44</v>
      </c>
      <c r="R55" s="18"/>
      <c r="S55" s="19" t="n">
        <v>46120.0540162037</v>
      </c>
      <c r="T55" s="18" t="s">
        <v>55</v>
      </c>
      <c r="U55" s="18" t="s">
        <v>45</v>
      </c>
      <c r="V55" s="18" t="s">
        <v>46</v>
      </c>
      <c r="W55" s="18" t="s">
        <v>47</v>
      </c>
      <c r="X55" s="18" t="s">
        <v>260</v>
      </c>
      <c r="Y55" s="20" t="n">
        <v>41.54636767</v>
      </c>
      <c r="Z55" s="20" t="n">
        <v>-93.64514836</v>
      </c>
      <c r="AA55" s="18" t="s">
        <v>256</v>
      </c>
      <c r="AB55" s="16" t="n">
        <v>51</v>
      </c>
      <c r="AC55" s="18"/>
      <c r="AD55" s="18" t="s">
        <v>50</v>
      </c>
      <c r="AE55" s="21" t="s">
        <v>51</v>
      </c>
    </row>
    <row r="56" customFormat="false" ht="56" hidden="false" customHeight="true" outlineLevel="0" collapsed="false">
      <c r="A56" s="22" t="n">
        <v>50</v>
      </c>
      <c r="B56" s="23" t="str">
        <f aca="false">HYPERLINK("https://www.google.com/maps/dir/?api=1&amp;destination=41.5459374600%2C-93.6451509600&amp;travelmode=driving&amp;dir_action=navigate","4138 Fleur Dr, Des Moines, IA")</f>
        <v>4138 Fleur Dr, Des Moines, IA</v>
      </c>
      <c r="C56" s="24"/>
      <c r="D56" s="25"/>
      <c r="E56" s="25"/>
      <c r="F56" s="26" t="s">
        <v>36</v>
      </c>
      <c r="G56" s="27" t="s">
        <v>261</v>
      </c>
      <c r="H56" s="27" t="s">
        <v>262</v>
      </c>
      <c r="I56" s="28" t="n">
        <v>6</v>
      </c>
      <c r="J56" s="29" t="str">
        <f aca="false">HYPERLINK("https://www.google.com/maps/dir/?api=1&amp;destination=41.5459374600%2C-93.6451509600&amp;travelmode=driving&amp;dir_action=navigate","GPS nav")</f>
        <v>GPS nav</v>
      </c>
      <c r="K56" s="27" t="s">
        <v>39</v>
      </c>
      <c r="L56" s="30" t="s">
        <v>40</v>
      </c>
      <c r="M56" s="30" t="s">
        <v>41</v>
      </c>
      <c r="N56" s="30" t="s">
        <v>263</v>
      </c>
      <c r="O56" s="30" t="s">
        <v>43</v>
      </c>
      <c r="P56" s="31" t="n">
        <v>46120.054375</v>
      </c>
      <c r="Q56" s="30" t="s">
        <v>44</v>
      </c>
      <c r="R56" s="30"/>
      <c r="S56" s="31" t="n">
        <v>46120.0543634259</v>
      </c>
      <c r="T56" s="30" t="s">
        <v>55</v>
      </c>
      <c r="U56" s="30" t="s">
        <v>45</v>
      </c>
      <c r="V56" s="30" t="s">
        <v>46</v>
      </c>
      <c r="W56" s="30" t="s">
        <v>47</v>
      </c>
      <c r="X56" s="30" t="s">
        <v>264</v>
      </c>
      <c r="Y56" s="32" t="n">
        <v>41.54593746</v>
      </c>
      <c r="Z56" s="32" t="n">
        <v>-93.64515096</v>
      </c>
      <c r="AA56" s="30" t="s">
        <v>256</v>
      </c>
      <c r="AB56" s="28" t="n">
        <v>53</v>
      </c>
      <c r="AC56" s="30"/>
      <c r="AD56" s="30" t="s">
        <v>50</v>
      </c>
      <c r="AE56" s="33" t="s">
        <v>51</v>
      </c>
    </row>
    <row r="57" customFormat="false" ht="56" hidden="false" customHeight="true" outlineLevel="0" collapsed="false">
      <c r="A57" s="10" t="n">
        <v>51</v>
      </c>
      <c r="B57" s="11" t="str">
        <f aca="false">HYPERLINK("https://www.google.com/maps/dir/?api=1&amp;destination=41.5454852400%2C-93.6451548900&amp;travelmode=driving&amp;dir_action=navigate","4200 Fleur Dr, Des Moines, IA")</f>
        <v>4200 Fleur Dr, Des Moines, IA</v>
      </c>
      <c r="C57" s="24"/>
      <c r="D57" s="25"/>
      <c r="E57" s="25"/>
      <c r="F57" s="26" t="s">
        <v>36</v>
      </c>
      <c r="G57" s="15" t="s">
        <v>265</v>
      </c>
      <c r="H57" s="15" t="s">
        <v>266</v>
      </c>
      <c r="I57" s="16" t="n">
        <v>6</v>
      </c>
      <c r="J57" s="17" t="str">
        <f aca="false">HYPERLINK("https://www.google.com/maps/dir/?api=1&amp;destination=41.5454852400%2C-93.6451548900&amp;travelmode=driving&amp;dir_action=navigate","GPS nav")</f>
        <v>GPS nav</v>
      </c>
      <c r="K57" s="15" t="s">
        <v>39</v>
      </c>
      <c r="L57" s="18" t="s">
        <v>40</v>
      </c>
      <c r="M57" s="18" t="s">
        <v>41</v>
      </c>
      <c r="N57" s="18" t="s">
        <v>267</v>
      </c>
      <c r="O57" s="18" t="s">
        <v>43</v>
      </c>
      <c r="P57" s="19" t="n">
        <v>46120.0537615741</v>
      </c>
      <c r="Q57" s="18" t="s">
        <v>44</v>
      </c>
      <c r="R57" s="18"/>
      <c r="S57" s="19" t="n">
        <v>46120.0537615741</v>
      </c>
      <c r="T57" s="18" t="s">
        <v>55</v>
      </c>
      <c r="U57" s="18" t="s">
        <v>45</v>
      </c>
      <c r="V57" s="18" t="s">
        <v>46</v>
      </c>
      <c r="W57" s="18" t="s">
        <v>47</v>
      </c>
      <c r="X57" s="18" t="s">
        <v>268</v>
      </c>
      <c r="Y57" s="20" t="n">
        <v>41.54548524</v>
      </c>
      <c r="Z57" s="20" t="n">
        <v>-93.64515489</v>
      </c>
      <c r="AA57" s="18" t="s">
        <v>256</v>
      </c>
      <c r="AB57" s="16" t="n">
        <v>49</v>
      </c>
      <c r="AC57" s="18"/>
      <c r="AD57" s="18" t="s">
        <v>50</v>
      </c>
      <c r="AE57" s="21" t="s">
        <v>51</v>
      </c>
    </row>
    <row r="58" customFormat="false" ht="56" hidden="false" customHeight="true" outlineLevel="0" collapsed="false">
      <c r="A58" s="22" t="n">
        <v>52</v>
      </c>
      <c r="B58" s="23" t="str">
        <f aca="false">HYPERLINK("https://www.google.com/maps/dir/?api=1&amp;destination=41.5431162700%2C-93.6451691800&amp;travelmode=driving&amp;dir_action=navigate","4560 Fleur Dr, Des Moines, IA")</f>
        <v>4560 Fleur Dr, Des Moines, IA</v>
      </c>
      <c r="C58" s="24"/>
      <c r="D58" s="25"/>
      <c r="E58" s="25"/>
      <c r="F58" s="26" t="s">
        <v>36</v>
      </c>
      <c r="G58" s="27" t="s">
        <v>269</v>
      </c>
      <c r="H58" s="27" t="s">
        <v>270</v>
      </c>
      <c r="I58" s="28" t="n">
        <v>6</v>
      </c>
      <c r="J58" s="29" t="str">
        <f aca="false">HYPERLINK("https://www.google.com/maps/dir/?api=1&amp;destination=41.5431162700%2C-93.6451691800&amp;travelmode=driving&amp;dir_action=navigate","GPS nav")</f>
        <v>GPS nav</v>
      </c>
      <c r="K58" s="27" t="s">
        <v>39</v>
      </c>
      <c r="L58" s="30" t="s">
        <v>40</v>
      </c>
      <c r="M58" s="30" t="s">
        <v>41</v>
      </c>
      <c r="N58" s="30" t="s">
        <v>271</v>
      </c>
      <c r="O58" s="30" t="s">
        <v>43</v>
      </c>
      <c r="P58" s="31" t="n">
        <v>46120.054525463</v>
      </c>
      <c r="Q58" s="30" t="s">
        <v>44</v>
      </c>
      <c r="R58" s="30"/>
      <c r="S58" s="31" t="n">
        <v>46120.0545138889</v>
      </c>
      <c r="T58" s="30" t="s">
        <v>55</v>
      </c>
      <c r="U58" s="30" t="s">
        <v>45</v>
      </c>
      <c r="V58" s="30" t="s">
        <v>46</v>
      </c>
      <c r="W58" s="30" t="s">
        <v>47</v>
      </c>
      <c r="X58" s="30" t="s">
        <v>272</v>
      </c>
      <c r="Y58" s="32" t="n">
        <v>41.54311627</v>
      </c>
      <c r="Z58" s="32" t="n">
        <v>-93.64516918</v>
      </c>
      <c r="AA58" s="30" t="s">
        <v>256</v>
      </c>
      <c r="AB58" s="28" t="n">
        <v>54</v>
      </c>
      <c r="AC58" s="30"/>
      <c r="AD58" s="30" t="s">
        <v>50</v>
      </c>
      <c r="AE58" s="33" t="s">
        <v>51</v>
      </c>
    </row>
    <row r="59" customFormat="false" ht="56" hidden="false" customHeight="true" outlineLevel="0" collapsed="false">
      <c r="A59" s="10" t="n">
        <v>53</v>
      </c>
      <c r="B59" s="11" t="str">
        <f aca="false">HYPERLINK("https://www.google.com/maps/dir/?api=1&amp;destination=41.5427364600%2C-93.6451654100&amp;travelmode=driving&amp;dir_action=navigate","4580 Fleur Dr, Des Moines, IA")</f>
        <v>4580 Fleur Dr, Des Moines, IA</v>
      </c>
      <c r="C59" s="24"/>
      <c r="D59" s="25"/>
      <c r="E59" s="25"/>
      <c r="F59" s="26" t="s">
        <v>36</v>
      </c>
      <c r="G59" s="15" t="s">
        <v>273</v>
      </c>
      <c r="H59" s="15" t="s">
        <v>274</v>
      </c>
      <c r="I59" s="16" t="n">
        <v>6</v>
      </c>
      <c r="J59" s="17" t="str">
        <f aca="false">HYPERLINK("https://www.google.com/maps/dir/?api=1&amp;destination=41.5427364600%2C-93.6451654100&amp;travelmode=driving&amp;dir_action=navigate","GPS nav")</f>
        <v>GPS nav</v>
      </c>
      <c r="K59" s="15" t="s">
        <v>39</v>
      </c>
      <c r="L59" s="18" t="s">
        <v>40</v>
      </c>
      <c r="M59" s="18" t="s">
        <v>41</v>
      </c>
      <c r="N59" s="18" t="s">
        <v>275</v>
      </c>
      <c r="O59" s="18" t="s">
        <v>43</v>
      </c>
      <c r="P59" s="19" t="n">
        <v>46120.054224537</v>
      </c>
      <c r="Q59" s="18" t="s">
        <v>44</v>
      </c>
      <c r="R59" s="18"/>
      <c r="S59" s="19" t="n">
        <v>46120.054212963</v>
      </c>
      <c r="T59" s="18" t="s">
        <v>55</v>
      </c>
      <c r="U59" s="18" t="s">
        <v>45</v>
      </c>
      <c r="V59" s="18" t="s">
        <v>46</v>
      </c>
      <c r="W59" s="18" t="s">
        <v>47</v>
      </c>
      <c r="X59" s="18" t="s">
        <v>276</v>
      </c>
      <c r="Y59" s="20" t="n">
        <v>41.54273646</v>
      </c>
      <c r="Z59" s="20" t="n">
        <v>-93.64516541</v>
      </c>
      <c r="AA59" s="18" t="s">
        <v>256</v>
      </c>
      <c r="AB59" s="16" t="n">
        <v>52</v>
      </c>
      <c r="AC59" s="18"/>
      <c r="AD59" s="18" t="s">
        <v>50</v>
      </c>
      <c r="AE59" s="21" t="s">
        <v>51</v>
      </c>
    </row>
    <row r="60" customFormat="false" ht="56" hidden="false" customHeight="true" outlineLevel="0" collapsed="false">
      <c r="A60" s="22" t="n">
        <v>54</v>
      </c>
      <c r="B60" s="23" t="str">
        <f aca="false">HYPERLINK("https://www.google.com/maps/dir/?api=1&amp;destination=41.5184751600%2C-93.6451078400&amp;travelmode=driving&amp;dir_action=navigate","7300 Fleur Dr, Des Moines, IA")</f>
        <v>7300 Fleur Dr, Des Moines, IA</v>
      </c>
      <c r="C60" s="24"/>
      <c r="D60" s="25"/>
      <c r="E60" s="25"/>
      <c r="F60" s="26" t="s">
        <v>36</v>
      </c>
      <c r="G60" s="27" t="s">
        <v>277</v>
      </c>
      <c r="H60" s="27" t="s">
        <v>278</v>
      </c>
      <c r="I60" s="28" t="n">
        <v>6</v>
      </c>
      <c r="J60" s="29" t="str">
        <f aca="false">HYPERLINK("https://www.google.com/maps/dir/?api=1&amp;destination=41.5184751600%2C-93.6451078400&amp;travelmode=driving&amp;dir_action=navigate","GPS nav")</f>
        <v>GPS nav</v>
      </c>
      <c r="K60" s="27" t="s">
        <v>39</v>
      </c>
      <c r="L60" s="30" t="s">
        <v>40</v>
      </c>
      <c r="M60" s="30" t="s">
        <v>41</v>
      </c>
      <c r="N60" s="30" t="s">
        <v>279</v>
      </c>
      <c r="O60" s="30" t="s">
        <v>43</v>
      </c>
      <c r="P60" s="31" t="n">
        <v>45944.970775463</v>
      </c>
      <c r="Q60" s="30" t="s">
        <v>44</v>
      </c>
      <c r="R60" s="30"/>
      <c r="S60" s="31" t="n">
        <v>45944.9707638889</v>
      </c>
      <c r="T60" s="30" t="s">
        <v>55</v>
      </c>
      <c r="U60" s="30" t="s">
        <v>45</v>
      </c>
      <c r="V60" s="30" t="s">
        <v>46</v>
      </c>
      <c r="W60" s="30" t="s">
        <v>47</v>
      </c>
      <c r="X60" s="30" t="s">
        <v>280</v>
      </c>
      <c r="Y60" s="32" t="n">
        <v>41.51847516</v>
      </c>
      <c r="Z60" s="32" t="n">
        <v>-93.64510784</v>
      </c>
      <c r="AA60" s="30" t="s">
        <v>281</v>
      </c>
      <c r="AB60" s="28" t="n">
        <v>22</v>
      </c>
      <c r="AC60" s="30"/>
      <c r="AD60" s="30" t="s">
        <v>50</v>
      </c>
      <c r="AE60" s="33" t="s">
        <v>51</v>
      </c>
    </row>
    <row r="61" customFormat="false" ht="56" hidden="false" customHeight="true" outlineLevel="0" collapsed="false">
      <c r="A61" s="45" t="n">
        <v>55</v>
      </c>
      <c r="B61" s="46" t="str">
        <f aca="false">HYPERLINK("https://www.google.com/maps/dir/?api=1&amp;destination=41.5123679200%2C-93.6447827000&amp;travelmode=driving&amp;dir_action=navigate","1 pole north of NE corner, Fleur Dr &amp; Echo Valley Dr, Des Moines, IA")</f>
        <v>1 pole north of NE corner, Fleur Dr &amp; Echo Valley Dr, Des Moines, IA</v>
      </c>
      <c r="C61" s="37"/>
      <c r="D61" s="38"/>
      <c r="E61" s="38"/>
      <c r="F61" s="39" t="s">
        <v>36</v>
      </c>
      <c r="G61" s="47" t="s">
        <v>282</v>
      </c>
      <c r="H61" s="47" t="s">
        <v>283</v>
      </c>
      <c r="I61" s="45" t="n">
        <v>7</v>
      </c>
      <c r="J61" s="48" t="str">
        <f aca="false">HYPERLINK("https://www.google.com/maps/dir/?api=1&amp;destination=41.5123679200%2C-93.6447827000&amp;travelmode=driving&amp;dir_action=navigate","GPS nav")</f>
        <v>GPS nav</v>
      </c>
      <c r="K61" s="47" t="s">
        <v>39</v>
      </c>
      <c r="L61" s="49" t="s">
        <v>40</v>
      </c>
      <c r="M61" s="49" t="s">
        <v>41</v>
      </c>
      <c r="N61" s="49" t="s">
        <v>284</v>
      </c>
      <c r="O61" s="49" t="s">
        <v>43</v>
      </c>
      <c r="P61" s="50" t="n">
        <v>45980.3507638889</v>
      </c>
      <c r="Q61" s="49" t="s">
        <v>44</v>
      </c>
      <c r="R61" s="49"/>
      <c r="S61" s="50" t="n">
        <v>45980.3507523148</v>
      </c>
      <c r="T61" s="49" t="s">
        <v>55</v>
      </c>
      <c r="U61" s="49" t="s">
        <v>45</v>
      </c>
      <c r="V61" s="49" t="s">
        <v>46</v>
      </c>
      <c r="W61" s="49" t="s">
        <v>47</v>
      </c>
      <c r="X61" s="49" t="s">
        <v>285</v>
      </c>
      <c r="Y61" s="51" t="n">
        <v>41.51236792</v>
      </c>
      <c r="Z61" s="51" t="n">
        <v>-93.6447827</v>
      </c>
      <c r="AA61" s="49" t="s">
        <v>281</v>
      </c>
      <c r="AB61" s="45" t="n">
        <v>37</v>
      </c>
      <c r="AC61" s="49"/>
      <c r="AD61" s="49" t="s">
        <v>50</v>
      </c>
      <c r="AE61" s="49" t="s">
        <v>51</v>
      </c>
    </row>
    <row r="62" customFormat="false" ht="56" hidden="false" customHeight="true" outlineLevel="0" collapsed="false">
      <c r="A62" s="22" t="n">
        <v>56</v>
      </c>
      <c r="B62" s="23" t="str">
        <f aca="false">HYPERLINK("https://www.google.com/maps/dir/?api=1&amp;destination=41.5122002400%2C-93.6447800900&amp;travelmode=driving&amp;dir_action=navigate","NE corner, Fleur Dr &amp; Echo Valley Dr, Des Moines, IA")</f>
        <v>NE corner, Fleur Dr &amp; Echo Valley Dr, Des Moines, IA</v>
      </c>
      <c r="C62" s="24"/>
      <c r="D62" s="25"/>
      <c r="E62" s="25"/>
      <c r="F62" s="26" t="s">
        <v>36</v>
      </c>
      <c r="G62" s="27" t="s">
        <v>286</v>
      </c>
      <c r="H62" s="27" t="s">
        <v>287</v>
      </c>
      <c r="I62" s="28" t="n">
        <v>7</v>
      </c>
      <c r="J62" s="29" t="str">
        <f aca="false">HYPERLINK("https://www.google.com/maps/dir/?api=1&amp;destination=41.5122002400%2C-93.6447800900&amp;travelmode=driving&amp;dir_action=navigate","GPS nav")</f>
        <v>GPS nav</v>
      </c>
      <c r="K62" s="27" t="s">
        <v>39</v>
      </c>
      <c r="L62" s="30" t="s">
        <v>40</v>
      </c>
      <c r="M62" s="30" t="s">
        <v>41</v>
      </c>
      <c r="N62" s="30" t="s">
        <v>288</v>
      </c>
      <c r="O62" s="30" t="s">
        <v>43</v>
      </c>
      <c r="P62" s="31" t="n">
        <v>45980.3497337963</v>
      </c>
      <c r="Q62" s="30" t="s">
        <v>44</v>
      </c>
      <c r="R62" s="30"/>
      <c r="S62" s="31" t="n">
        <v>45980.3497222222</v>
      </c>
      <c r="T62" s="30" t="s">
        <v>55</v>
      </c>
      <c r="U62" s="30" t="s">
        <v>45</v>
      </c>
      <c r="V62" s="30" t="s">
        <v>46</v>
      </c>
      <c r="W62" s="30" t="s">
        <v>47</v>
      </c>
      <c r="X62" s="30" t="s">
        <v>289</v>
      </c>
      <c r="Y62" s="32" t="n">
        <v>41.51220024</v>
      </c>
      <c r="Z62" s="32" t="n">
        <v>-93.64478009</v>
      </c>
      <c r="AA62" s="30" t="s">
        <v>281</v>
      </c>
      <c r="AB62" s="28" t="n">
        <v>36</v>
      </c>
      <c r="AC62" s="30"/>
      <c r="AD62" s="30" t="s">
        <v>50</v>
      </c>
      <c r="AE62" s="33" t="s">
        <v>51</v>
      </c>
    </row>
    <row r="63" customFormat="false" ht="56" hidden="false" customHeight="true" outlineLevel="0" collapsed="false">
      <c r="A63" s="10" t="n">
        <v>57</v>
      </c>
      <c r="B63" s="11" t="str">
        <f aca="false">HYPERLINK("https://www.google.com/maps/dir/?api=1&amp;destination=41.5261453700%2C-93.5915540300&amp;travelmode=driving&amp;dir_action=navigate","1640 E Army Post Rd, Des Moines, IA")</f>
        <v>1640 E Army Post Rd, Des Moines, IA</v>
      </c>
      <c r="C63" s="24"/>
      <c r="D63" s="25"/>
      <c r="E63" s="25"/>
      <c r="F63" s="26" t="s">
        <v>36</v>
      </c>
      <c r="G63" s="15" t="s">
        <v>290</v>
      </c>
      <c r="H63" s="15" t="s">
        <v>291</v>
      </c>
      <c r="I63" s="16" t="n">
        <v>7</v>
      </c>
      <c r="J63" s="17" t="str">
        <f aca="false">HYPERLINK("https://www.google.com/maps/dir/?api=1&amp;destination=41.5261453700%2C-93.5915540300&amp;travelmode=driving&amp;dir_action=navigate","GPS nav")</f>
        <v>GPS nav</v>
      </c>
      <c r="K63" s="15" t="s">
        <v>39</v>
      </c>
      <c r="L63" s="18" t="s">
        <v>40</v>
      </c>
      <c r="M63" s="18" t="s">
        <v>41</v>
      </c>
      <c r="N63" s="18" t="s">
        <v>292</v>
      </c>
      <c r="O63" s="18" t="s">
        <v>43</v>
      </c>
      <c r="P63" s="19" t="n">
        <v>46129.0244907407</v>
      </c>
      <c r="Q63" s="18" t="s">
        <v>44</v>
      </c>
      <c r="R63" s="18"/>
      <c r="S63" s="19" t="n">
        <v>46129.0244791667</v>
      </c>
      <c r="T63" s="18" t="s">
        <v>55</v>
      </c>
      <c r="U63" s="18" t="s">
        <v>45</v>
      </c>
      <c r="V63" s="18" t="s">
        <v>46</v>
      </c>
      <c r="W63" s="18" t="s">
        <v>47</v>
      </c>
      <c r="X63" s="18" t="s">
        <v>293</v>
      </c>
      <c r="Y63" s="20" t="n">
        <v>41.52614537</v>
      </c>
      <c r="Z63" s="20" t="n">
        <v>-93.59155403</v>
      </c>
      <c r="AA63" s="18" t="s">
        <v>294</v>
      </c>
      <c r="AB63" s="16" t="n">
        <v>56</v>
      </c>
      <c r="AC63" s="18"/>
      <c r="AD63" s="18" t="s">
        <v>50</v>
      </c>
      <c r="AE63" s="21" t="s">
        <v>51</v>
      </c>
    </row>
    <row r="64" customFormat="false" ht="56" hidden="false" customHeight="true" outlineLevel="0" collapsed="false">
      <c r="A64" s="22" t="n">
        <v>58</v>
      </c>
      <c r="B64" s="34" t="str">
        <f aca="false">HYPERLINK("https://www.google.com/maps/dir/?api=1&amp;destination=41.4744786400%2C-93.5422118600&amp;travelmode=driving&amp;dir_action=navigate","GPS only — Southeast outlier. Street address blank in source.")</f>
        <v>GPS only — Southeast outlier. Street address blank in source.</v>
      </c>
      <c r="C64" s="24"/>
      <c r="D64" s="25"/>
      <c r="E64" s="25"/>
      <c r="F64" s="26" t="s">
        <v>36</v>
      </c>
      <c r="G64" s="27" t="s">
        <v>295</v>
      </c>
      <c r="H64" s="27" t="s">
        <v>296</v>
      </c>
      <c r="I64" s="28" t="n">
        <v>7</v>
      </c>
      <c r="J64" s="29" t="str">
        <f aca="false">HYPERLINK("https://www.google.com/maps/dir/?api=1&amp;destination=41.4744786400%2C-93.5422118600&amp;travelmode=driving&amp;dir_action=navigate","GPS nav")</f>
        <v>GPS nav</v>
      </c>
      <c r="K64" s="27" t="s">
        <v>39</v>
      </c>
      <c r="L64" s="30" t="s">
        <v>40</v>
      </c>
      <c r="M64" s="30" t="s">
        <v>41</v>
      </c>
      <c r="N64" s="30" t="s">
        <v>297</v>
      </c>
      <c r="O64" s="30" t="s">
        <v>43</v>
      </c>
      <c r="P64" s="31" t="n">
        <v>45901.2572337963</v>
      </c>
      <c r="Q64" s="30" t="s">
        <v>44</v>
      </c>
      <c r="R64" s="30"/>
      <c r="S64" s="31" t="n">
        <v>45901.2572222222</v>
      </c>
      <c r="T64" s="30"/>
      <c r="U64" s="30" t="s">
        <v>45</v>
      </c>
      <c r="V64" s="30" t="s">
        <v>46</v>
      </c>
      <c r="W64" s="30" t="s">
        <v>47</v>
      </c>
      <c r="X64" s="30"/>
      <c r="Y64" s="32" t="n">
        <v>41.47447864</v>
      </c>
      <c r="Z64" s="32" t="n">
        <v>-93.54221186</v>
      </c>
      <c r="AA64" s="30" t="s">
        <v>298</v>
      </c>
      <c r="AB64" s="28" t="n">
        <v>4</v>
      </c>
      <c r="AC64" s="30"/>
      <c r="AD64" s="30" t="s">
        <v>50</v>
      </c>
      <c r="AE64" s="33" t="s">
        <v>51</v>
      </c>
    </row>
    <row r="65" customFormat="false" ht="56" hidden="false" customHeight="true" outlineLevel="0" collapsed="false">
      <c r="A65" s="10" t="n">
        <v>59</v>
      </c>
      <c r="B65" s="52" t="str">
        <f aca="false">HYPERLINK("https://www.google.com/maps/dir/?api=1&amp;destination=41.4761570200%2C-93.5216146000&amp;travelmode=driving&amp;dir_action=navigate","14941 Scotch Ridge Rd, Warren County, IA")</f>
        <v>14941 Scotch Ridge Rd, Warren County, IA</v>
      </c>
      <c r="C65" s="53"/>
      <c r="D65" s="54"/>
      <c r="E65" s="54"/>
      <c r="F65" s="55" t="s">
        <v>36</v>
      </c>
      <c r="G65" s="56" t="s">
        <v>299</v>
      </c>
      <c r="H65" s="56" t="s">
        <v>300</v>
      </c>
      <c r="I65" s="10" t="n">
        <v>7</v>
      </c>
      <c r="J65" s="57" t="str">
        <f aca="false">HYPERLINK("https://www.google.com/maps/dir/?api=1&amp;destination=41.4761570200%2C-93.5216146000&amp;travelmode=driving&amp;dir_action=navigate","GPS nav")</f>
        <v>GPS nav</v>
      </c>
      <c r="K65" s="56" t="s">
        <v>39</v>
      </c>
      <c r="L65" s="21" t="s">
        <v>40</v>
      </c>
      <c r="M65" s="21" t="s">
        <v>41</v>
      </c>
      <c r="N65" s="21" t="s">
        <v>301</v>
      </c>
      <c r="O65" s="21" t="s">
        <v>43</v>
      </c>
      <c r="P65" s="58" t="n">
        <v>46191.3817361111</v>
      </c>
      <c r="Q65" s="21" t="s">
        <v>44</v>
      </c>
      <c r="R65" s="21"/>
      <c r="S65" s="58" t="n">
        <v>46191.381724537</v>
      </c>
      <c r="T65" s="21" t="s">
        <v>55</v>
      </c>
      <c r="U65" s="21" t="s">
        <v>45</v>
      </c>
      <c r="V65" s="21" t="s">
        <v>46</v>
      </c>
      <c r="W65" s="21" t="s">
        <v>47</v>
      </c>
      <c r="X65" s="21" t="s">
        <v>302</v>
      </c>
      <c r="Y65" s="59" t="n">
        <v>41.47615702</v>
      </c>
      <c r="Z65" s="59" t="n">
        <v>-93.5216146</v>
      </c>
      <c r="AA65" s="21" t="s">
        <v>298</v>
      </c>
      <c r="AB65" s="10" t="n">
        <v>59</v>
      </c>
      <c r="AC65" s="21"/>
      <c r="AD65" s="21" t="s">
        <v>50</v>
      </c>
      <c r="AE65" s="21" t="s">
        <v>51</v>
      </c>
    </row>
  </sheetData>
  <conditionalFormatting sqref="F7:F65">
    <cfRule type="expression" priority="2" aboveAverage="0" equalAverage="0" bottom="0" percent="0" rank="0" text="" dxfId="7">
      <formula>NOT(ISERROR(SEARCH("Done",F7)))</formula>
    </cfRule>
    <cfRule type="expression" priority="3" aboveAverage="0" equalAverage="0" bottom="0" percent="0" rank="0" text="" dxfId="8">
      <formula>NOT(ISERROR(SEARCH("Revisit",F7)))</formula>
    </cfRule>
  </conditionalFormatting>
  <dataValidations count="1">
    <dataValidation allowBlank="false" errorStyle="stop" operator="between" showDropDown="false" showErrorMessage="false" showInputMessage="false" sqref="F7:F65" type="list">
      <formula1>"Open,Done,Revisit"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5B99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0"/>
    <col collapsed="false" customWidth="true" hidden="false" outlineLevel="0" max="5" min="4" style="0" width="52"/>
    <col collapsed="false" customWidth="true" hidden="false" outlineLevel="0" max="6" min="6" style="0" width="17"/>
  </cols>
  <sheetData>
    <row r="1" customFormat="false" ht="10" hidden="false" customHeight="true" outlineLevel="0" collapsed="false">
      <c r="A1" s="1"/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303</v>
      </c>
      <c r="B2" s="1"/>
      <c r="C2" s="1"/>
      <c r="D2" s="1"/>
      <c r="E2" s="1"/>
      <c r="F2" s="1"/>
    </row>
    <row r="3" customFormat="false" ht="25" hidden="false" customHeight="true" outlineLevel="0" collapsed="false">
      <c r="A3" s="60" t="s">
        <v>1</v>
      </c>
      <c r="B3" s="61"/>
      <c r="C3" s="61"/>
      <c r="D3" s="61"/>
      <c r="E3" s="61"/>
      <c r="F3" s="61"/>
    </row>
    <row r="4" customFormat="false" ht="24" hidden="false" customHeight="true" outlineLevel="0" collapsed="false">
      <c r="A4" s="8" t="s">
        <v>304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8" t="s">
        <v>305</v>
      </c>
      <c r="B5" s="8"/>
      <c r="C5" s="8"/>
      <c r="D5" s="8"/>
      <c r="E5" s="8"/>
      <c r="F5" s="8"/>
    </row>
    <row r="6" customFormat="false" ht="24" hidden="false" customHeight="true" outlineLevel="0" collapsed="false">
      <c r="A6" s="1"/>
      <c r="B6" s="1"/>
      <c r="C6" s="1"/>
      <c r="D6" s="1"/>
      <c r="E6" s="1"/>
      <c r="F6" s="1"/>
    </row>
    <row r="7" customFormat="false" ht="32" hidden="false" customHeight="true" outlineLevel="0" collapsed="false">
      <c r="A7" s="62" t="s">
        <v>13</v>
      </c>
      <c r="B7" s="62" t="s">
        <v>306</v>
      </c>
      <c r="C7" s="62" t="s">
        <v>2</v>
      </c>
      <c r="D7" s="62" t="s">
        <v>307</v>
      </c>
      <c r="E7" s="62" t="s">
        <v>308</v>
      </c>
      <c r="F7" s="62" t="s">
        <v>309</v>
      </c>
    </row>
    <row r="8" customFormat="false" ht="48" hidden="false" customHeight="true" outlineLevel="0" collapsed="false">
      <c r="A8" s="63" t="n">
        <v>1</v>
      </c>
      <c r="B8" s="63" t="s">
        <v>310</v>
      </c>
      <c r="C8" s="63" t="n">
        <v>9</v>
      </c>
      <c r="D8" s="64" t="s">
        <v>311</v>
      </c>
      <c r="E8" s="64" t="s">
        <v>312</v>
      </c>
      <c r="F8" s="65" t="s">
        <v>313</v>
      </c>
    </row>
    <row r="9" customFormat="false" ht="48" hidden="false" customHeight="true" outlineLevel="0" collapsed="false">
      <c r="A9" s="66" t="n">
        <v>2</v>
      </c>
      <c r="B9" s="66" t="s">
        <v>314</v>
      </c>
      <c r="C9" s="66" t="n">
        <v>9</v>
      </c>
      <c r="D9" s="67" t="s">
        <v>315</v>
      </c>
      <c r="E9" s="67" t="s">
        <v>316</v>
      </c>
      <c r="F9" s="68" t="s">
        <v>313</v>
      </c>
    </row>
    <row r="10" customFormat="false" ht="48" hidden="false" customHeight="true" outlineLevel="0" collapsed="false">
      <c r="A10" s="63" t="n">
        <v>3</v>
      </c>
      <c r="B10" s="63" t="s">
        <v>317</v>
      </c>
      <c r="C10" s="63" t="n">
        <v>9</v>
      </c>
      <c r="D10" s="64" t="s">
        <v>318</v>
      </c>
      <c r="E10" s="64" t="s">
        <v>319</v>
      </c>
      <c r="F10" s="65" t="s">
        <v>313</v>
      </c>
    </row>
    <row r="11" customFormat="false" ht="48" hidden="false" customHeight="true" outlineLevel="0" collapsed="false">
      <c r="A11" s="66" t="n">
        <v>4</v>
      </c>
      <c r="B11" s="66" t="s">
        <v>320</v>
      </c>
      <c r="C11" s="66" t="n">
        <v>9</v>
      </c>
      <c r="D11" s="67" t="s">
        <v>321</v>
      </c>
      <c r="E11" s="67" t="s">
        <v>322</v>
      </c>
      <c r="F11" s="68" t="s">
        <v>313</v>
      </c>
    </row>
    <row r="12" customFormat="false" ht="48" hidden="false" customHeight="true" outlineLevel="0" collapsed="false">
      <c r="A12" s="63" t="n">
        <v>5</v>
      </c>
      <c r="B12" s="63" t="s">
        <v>323</v>
      </c>
      <c r="C12" s="63" t="n">
        <v>9</v>
      </c>
      <c r="D12" s="64" t="s">
        <v>324</v>
      </c>
      <c r="E12" s="64" t="s">
        <v>325</v>
      </c>
      <c r="F12" s="65" t="s">
        <v>313</v>
      </c>
    </row>
    <row r="13" customFormat="false" ht="48" hidden="false" customHeight="true" outlineLevel="0" collapsed="false">
      <c r="A13" s="66" t="n">
        <v>6</v>
      </c>
      <c r="B13" s="66" t="s">
        <v>326</v>
      </c>
      <c r="C13" s="66" t="n">
        <v>9</v>
      </c>
      <c r="D13" s="67" t="s">
        <v>327</v>
      </c>
      <c r="E13" s="67" t="s">
        <v>328</v>
      </c>
      <c r="F13" s="68" t="s">
        <v>313</v>
      </c>
    </row>
    <row r="14" customFormat="false" ht="48" hidden="false" customHeight="true" outlineLevel="0" collapsed="false">
      <c r="A14" s="63" t="n">
        <v>7</v>
      </c>
      <c r="B14" s="63" t="s">
        <v>329</v>
      </c>
      <c r="C14" s="63" t="n">
        <v>5</v>
      </c>
      <c r="D14" s="64" t="s">
        <v>330</v>
      </c>
      <c r="E14" s="64" t="s">
        <v>331</v>
      </c>
      <c r="F14" s="65" t="s">
        <v>313</v>
      </c>
    </row>
    <row r="15" customFormat="false" ht="16" hidden="false" customHeight="true" outlineLevel="0" collapsed="false"/>
    <row r="16" customFormat="false" ht="24" hidden="false" customHeight="true" outlineLevel="0" collapsed="false">
      <c r="A16" s="69" t="s">
        <v>332</v>
      </c>
    </row>
    <row r="17" customFormat="false" ht="24" hidden="false" customHeight="true" outlineLevel="0" collapsed="false">
      <c r="A17" s="0" t="s">
        <v>333</v>
      </c>
    </row>
    <row r="18" customFormat="false" ht="24" hidden="false" customHeight="true" outlineLevel="0" collapsed="false">
      <c r="A18" s="0" t="s">
        <v>334</v>
      </c>
    </row>
    <row r="19" customFormat="false" ht="24" hidden="false" customHeight="true" outlineLevel="0" collapsed="false">
      <c r="A19" s="0" t="s">
        <v>335</v>
      </c>
    </row>
    <row r="20" customFormat="false" ht="24" hidden="false" customHeight="true" outlineLevel="0" collapsed="false">
      <c r="A20" s="0" t="s">
        <v>336</v>
      </c>
    </row>
    <row r="21" customFormat="false" ht="24" hidden="false" customHeight="true" outlineLevel="0" collapsed="false"/>
    <row r="22" customFormat="false" ht="24" hidden="false" customHeight="true" outlineLevel="0" collapsed="false">
      <c r="A22" s="70" t="s">
        <v>337</v>
      </c>
    </row>
    <row r="23" customFormat="false" ht="24" hidden="false" customHeight="true" outlineLevel="0" collapsed="false">
      <c r="A23" s="0" t="s">
        <v>338</v>
      </c>
    </row>
    <row r="24" customFormat="false" ht="24" hidden="false" customHeight="true" outlineLevel="0" collapsed="false">
      <c r="A24" s="1" t="s">
        <v>339</v>
      </c>
      <c r="B24" s="1"/>
      <c r="C24" s="1"/>
      <c r="D24" s="1"/>
      <c r="E24" s="1"/>
      <c r="F24" s="1"/>
    </row>
    <row r="25" customFormat="false" ht="24" hidden="false" customHeight="true" outlineLevel="0" collapsed="false">
      <c r="A25" s="71" t="s">
        <v>340</v>
      </c>
      <c r="B25" s="1"/>
      <c r="C25" s="1"/>
      <c r="D25" s="1"/>
      <c r="E25" s="1"/>
      <c r="F25" s="1"/>
    </row>
    <row r="26" customFormat="false" ht="24" hidden="false" customHeight="true" outlineLevel="0" collapsed="false">
      <c r="A26" s="0" t="s">
        <v>341</v>
      </c>
    </row>
    <row r="27" customFormat="false" ht="24" hidden="false" customHeight="true" outlineLevel="0" collapsed="false">
      <c r="A27" s="0" t="s">
        <v>342</v>
      </c>
    </row>
    <row r="28" customFormat="false" ht="24" hidden="false" customHeight="true" outlineLevel="0" collapsed="false"/>
    <row r="29" customFormat="false" ht="24" hidden="false" customHeight="true" outlineLevel="0" collapsed="false">
      <c r="A29" s="72" t="s">
        <v>343</v>
      </c>
    </row>
    <row r="30" customFormat="false" ht="24" hidden="false" customHeight="true" outlineLevel="0" collapsed="false">
      <c r="A30" s="0" t="s">
        <v>344</v>
      </c>
    </row>
    <row r="31" customFormat="false" ht="24" hidden="false" customHeight="true" outlineLevel="0" collapsed="false">
      <c r="A31" s="0" t="s">
        <v>345</v>
      </c>
    </row>
    <row r="32" customFormat="false" ht="24" hidden="false" customHeight="true" outlineLevel="0" collapsed="false">
      <c r="A32" s="0" t="s">
        <v>346</v>
      </c>
    </row>
    <row r="33" customFormat="false" ht="24" hidden="false" customHeight="true" outlineLevel="0" collapsed="false"/>
    <row r="34" customFormat="false" ht="24" hidden="false" customHeight="true" outlineLevel="0" collapsed="false"/>
    <row r="35" customFormat="false" ht="24" hidden="false" customHeight="true" outlineLevel="0" collapsed="false">
      <c r="A35" s="1"/>
      <c r="B35" s="1"/>
      <c r="C35" s="1"/>
      <c r="D35" s="1"/>
      <c r="E35" s="1"/>
      <c r="F35" s="1"/>
    </row>
    <row r="36" customFormat="false" ht="24" hidden="false" customHeight="true" outlineLevel="0" collapsed="false">
      <c r="A36" s="1"/>
      <c r="B36" s="1"/>
      <c r="C36" s="1"/>
      <c r="D36" s="1"/>
      <c r="E36" s="1"/>
      <c r="F36" s="1"/>
    </row>
  </sheetData>
  <hyperlinks>
    <hyperlink ref="F8" r:id="rId1" display="Open route"/>
    <hyperlink ref="F9" r:id="rId2" display="Open route"/>
    <hyperlink ref="F10" r:id="rId3" display="Open route"/>
    <hyperlink ref="F11" r:id="rId4" display="Open route"/>
    <hyperlink ref="F12" r:id="rId5" display="Open route"/>
    <hyperlink ref="F13" r:id="rId6" display="Open route"/>
    <hyperlink ref="F14" r:id="rId7" display="Open rout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